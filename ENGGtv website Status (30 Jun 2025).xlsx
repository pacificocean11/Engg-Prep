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echanical" sheetId="1" r:id="rId4"/>
    <sheet name="Other" sheetId="2" r:id="rId5"/>
    <sheet name="Civil" sheetId="3" r:id="rId6"/>
    <sheet name="Summary" sheetId="4" r:id="rId7"/>
    <sheet name="Electrical and Computer" sheetId="5" r:id="rId8"/>
    <sheet name="Chemical" sheetId="6" r:id="rId9"/>
    <sheet name="Industrial" sheetId="7" r:id="rId10"/>
    <sheet name="Environmental" sheetId="8" r:id="rId11"/>
  </sheets>
</workbook>
</file>

<file path=xl/sharedStrings.xml><?xml version="1.0" encoding="utf-8"?>
<sst xmlns="http://schemas.openxmlformats.org/spreadsheetml/2006/main" uniqueCount="1590">
  <si>
    <t>ENGG.tv Contents</t>
  </si>
  <si>
    <t>Subject</t>
  </si>
  <si>
    <t>Chapters</t>
  </si>
  <si>
    <t>Topics</t>
  </si>
  <si>
    <t>Video Notes</t>
  </si>
  <si>
    <t>Theory Questions</t>
  </si>
  <si>
    <t>Numericals</t>
  </si>
  <si>
    <t>Vid Explanation</t>
  </si>
  <si>
    <t>Homework/Solution</t>
  </si>
  <si>
    <t>Mathematics</t>
  </si>
  <si>
    <t>Math Basics</t>
  </si>
  <si>
    <t>Trigonometry</t>
  </si>
  <si>
    <t>Logarithms</t>
  </si>
  <si>
    <t>Areas and Volumes</t>
  </si>
  <si>
    <t>Theory of Complex Numbers</t>
  </si>
  <si>
    <t>Calculators</t>
  </si>
  <si>
    <t>Analytic Geometry</t>
  </si>
  <si>
    <t>Straight Lines</t>
  </si>
  <si>
    <t>Conics</t>
  </si>
  <si>
    <t>Circles</t>
  </si>
  <si>
    <t>Ellipse</t>
  </si>
  <si>
    <t>Parabola</t>
  </si>
  <si>
    <t>Hyperbola</t>
  </si>
  <si>
    <t>Calculus</t>
  </si>
  <si>
    <t>Limits</t>
  </si>
  <si>
    <t>Derivative</t>
  </si>
  <si>
    <t>Application of Derivatives</t>
  </si>
  <si>
    <t>Partial Derivatives</t>
  </si>
  <si>
    <t>Indefinite Integrals</t>
  </si>
  <si>
    <t>Differential Equations</t>
  </si>
  <si>
    <t>General Terminology</t>
  </si>
  <si>
    <t>First Order DE</t>
  </si>
  <si>
    <t>Higher Order DE</t>
  </si>
  <si>
    <t>Laplace Transform</t>
  </si>
  <si>
    <t>Linear Algebra</t>
  </si>
  <si>
    <t>Determinant of a Matrix</t>
  </si>
  <si>
    <t>Matrix Operations</t>
  </si>
  <si>
    <t>Unit Vector</t>
  </si>
  <si>
    <t>Dot and Cross Products</t>
  </si>
  <si>
    <t>Gradient, Divergence and Curl</t>
  </si>
  <si>
    <t>Numerical Methods</t>
  </si>
  <si>
    <t>Newton’s Method of Root Extraction</t>
  </si>
  <si>
    <t>Newton’s Method of Minimization</t>
  </si>
  <si>
    <t>Forward Rectangle Rule</t>
  </si>
  <si>
    <t>Trapezoidal Rule</t>
  </si>
  <si>
    <t>Simpson’s Rule</t>
  </si>
  <si>
    <t>Taylor’s and McLaurin’s Series</t>
  </si>
  <si>
    <t>Algorithm and Logic Development</t>
  </si>
  <si>
    <t>Flowchart</t>
  </si>
  <si>
    <t>Pseudocode</t>
  </si>
  <si>
    <t>Probability and Statistics</t>
  </si>
  <si>
    <t>Measures of Central Tendencies and Distribution</t>
  </si>
  <si>
    <t>Mean, Median Mode</t>
  </si>
  <si>
    <t>Standard Deviation and Variance</t>
  </si>
  <si>
    <t>Permutations and Combinations</t>
  </si>
  <si>
    <t>Arrangement and Selection</t>
  </si>
  <si>
    <t>Selection with Identical Objects</t>
  </si>
  <si>
    <t>Laws of Probability</t>
  </si>
  <si>
    <t>Probability Concepts</t>
  </si>
  <si>
    <t>Probability Functions, Distributions and Expected Value</t>
  </si>
  <si>
    <t>PDF and CDF</t>
  </si>
  <si>
    <t>Binomial Distribution</t>
  </si>
  <si>
    <t>Normal Distribution</t>
  </si>
  <si>
    <t>t-distribution</t>
  </si>
  <si>
    <t>Chi-squared distribution</t>
  </si>
  <si>
    <t>Expected Value</t>
  </si>
  <si>
    <t>Propagation of Error</t>
  </si>
  <si>
    <t>Measurement of Error</t>
  </si>
  <si>
    <t>Linear Combinations</t>
  </si>
  <si>
    <t>Regression and Curve Fitting</t>
  </si>
  <si>
    <t>Linear Regression</t>
  </si>
  <si>
    <t>Correlation Coefficient</t>
  </si>
  <si>
    <t>Hypothesis Testing</t>
  </si>
  <si>
    <t>Null Hypothesis</t>
  </si>
  <si>
    <t>Confidence Intervals</t>
  </si>
  <si>
    <t>Comparison of Samples</t>
  </si>
  <si>
    <t>Sample Size Requirements</t>
  </si>
  <si>
    <t>Ethics and Professional Practice</t>
  </si>
  <si>
    <t>Codes of Ethics</t>
  </si>
  <si>
    <t>NCEES Model Law</t>
  </si>
  <si>
    <t>Professional and Technical Societies</t>
  </si>
  <si>
    <t>Ethical and Legal Considerations</t>
  </si>
  <si>
    <t>Public Health, Safety and Welfare</t>
  </si>
  <si>
    <t>Public Health, Safety and Welfare in Engineering</t>
  </si>
  <si>
    <t>Intellectual Property</t>
  </si>
  <si>
    <t>Introduction to Intellectual Property</t>
  </si>
  <si>
    <t>Patents and Copyrights</t>
  </si>
  <si>
    <t>Trademarks</t>
  </si>
  <si>
    <t>Trade Secrets</t>
  </si>
  <si>
    <t>Societal Considerations</t>
  </si>
  <si>
    <t>Life Cycle Assessment (LCA)</t>
  </si>
  <si>
    <t>Sustainability</t>
  </si>
  <si>
    <t>Engineering Economics</t>
  </si>
  <si>
    <t>Time Value of Money</t>
  </si>
  <si>
    <t>Non-Annual Compounding</t>
  </si>
  <si>
    <t>Break-even Analysis</t>
  </si>
  <si>
    <t>Inflation</t>
  </si>
  <si>
    <t>Depreciation</t>
  </si>
  <si>
    <t>Capitalized Cost</t>
  </si>
  <si>
    <t>Rate of Return</t>
  </si>
  <si>
    <t>Internal Rate of Return</t>
  </si>
  <si>
    <t>Benefit-Cost Analysis</t>
  </si>
  <si>
    <t>Decision Trees</t>
  </si>
  <si>
    <t>Expected Value and Risk</t>
  </si>
  <si>
    <t>Electricity and Magnetism</t>
  </si>
  <si>
    <t>Electrical Fundamentals</t>
  </si>
  <si>
    <t>Coulomb’s Law</t>
  </si>
  <si>
    <t>Electrostatic Field</t>
  </si>
  <si>
    <t>Voltage</t>
  </si>
  <si>
    <t>Electric Current</t>
  </si>
  <si>
    <t>Magnetostatics</t>
  </si>
  <si>
    <t>Resistance</t>
  </si>
  <si>
    <t>Electric Power</t>
  </si>
  <si>
    <t>Kirchhoff's Laws</t>
  </si>
  <si>
    <t>Source Equivalents</t>
  </si>
  <si>
    <t>Thevenin Equivalent</t>
  </si>
  <si>
    <t>Norton Equivalent</t>
  </si>
  <si>
    <t>Capacitors and Inductors</t>
  </si>
  <si>
    <t>Energy Stored in a Capacitor or Inductor</t>
  </si>
  <si>
    <t>Capacitors and Inductors in Parallel and Series</t>
  </si>
  <si>
    <t>AC Circuits</t>
  </si>
  <si>
    <t>Frequency and Period of AC Waveform</t>
  </si>
  <si>
    <t>Average Value</t>
  </si>
  <si>
    <t>RMS Value</t>
  </si>
  <si>
    <t>AC Impedance</t>
  </si>
  <si>
    <t>Phasors of Pure RLC Circuits</t>
  </si>
  <si>
    <t>Admittance, Conductance and Susceptance</t>
  </si>
  <si>
    <t>Transformers</t>
  </si>
  <si>
    <t>Motors and Generators</t>
  </si>
  <si>
    <t>Efficiency, Losses and Power in Rotating Machines</t>
  </si>
  <si>
    <t>AC Machines (Synchronus and Induction)</t>
  </si>
  <si>
    <t>DC Machines</t>
  </si>
  <si>
    <t>Servomotors and Generators</t>
  </si>
  <si>
    <t>Statics</t>
  </si>
  <si>
    <t>Resultant of Force Systems</t>
  </si>
  <si>
    <t>Resolution of Forces</t>
  </si>
  <si>
    <t xml:space="preserve">Moment and Couple </t>
  </si>
  <si>
    <t>System of Forces</t>
  </si>
  <si>
    <t>Equilibrium of Rigid Bodies</t>
  </si>
  <si>
    <t>Centroids</t>
  </si>
  <si>
    <t>Centroid of Masses, Areas, Lengths and Volumes</t>
  </si>
  <si>
    <t>Moment of Inertia</t>
  </si>
  <si>
    <t>Area Moment of Inertia</t>
  </si>
  <si>
    <t>Polar Moment of Inertia</t>
  </si>
  <si>
    <t>Perpendicular Axis Theorem</t>
  </si>
  <si>
    <t>Parallel Axis Theorem (Statics)</t>
  </si>
  <si>
    <t>Radius of Gyration</t>
  </si>
  <si>
    <t>Product of Inertia</t>
  </si>
  <si>
    <t>Static Friction</t>
  </si>
  <si>
    <t>Screw Thread</t>
  </si>
  <si>
    <t>Belt Friction</t>
  </si>
  <si>
    <t>Statically Determinate Truss</t>
  </si>
  <si>
    <t>Method of Joints</t>
  </si>
  <si>
    <t>Method of Section</t>
  </si>
  <si>
    <t>Zero Force Members</t>
  </si>
  <si>
    <t>Concurrent Forces</t>
  </si>
  <si>
    <t>Lami’s Theorem</t>
  </si>
  <si>
    <t>Dynamics, Kinematics and Vibrations</t>
  </si>
  <si>
    <t>Kinematics of Particles</t>
  </si>
  <si>
    <t>Instantaneous Velocity and Acceleration</t>
  </si>
  <si>
    <t>Tangential and Normal Component of Acceleration</t>
  </si>
  <si>
    <t>Constant Acceleration Motion</t>
  </si>
  <si>
    <t>Variable Acceleration Motion</t>
  </si>
  <si>
    <t>Relative Motion</t>
  </si>
  <si>
    <t>Uniform Circular Motion</t>
  </si>
  <si>
    <t>Projectile Motion</t>
  </si>
  <si>
    <t>Kinetic Friction</t>
  </si>
  <si>
    <t>Newton’s Second Law for Particles</t>
  </si>
  <si>
    <t>One-Dimensional Motion of a Particle</t>
  </si>
  <si>
    <t>Work-Energy of Particles</t>
  </si>
  <si>
    <t>Kinetic Energy</t>
  </si>
  <si>
    <t>Potential Energy</t>
  </si>
  <si>
    <t>Work</t>
  </si>
  <si>
    <t>Power and Efficiency</t>
  </si>
  <si>
    <t>Law of Conservation of Energy</t>
  </si>
  <si>
    <t>Impulse-Momentum of Particles</t>
  </si>
  <si>
    <t>Linear and Angular Momentum</t>
  </si>
  <si>
    <t>Impulse-Momentum Equation</t>
  </si>
  <si>
    <t>Impact</t>
  </si>
  <si>
    <t>Kinematics of Rigid Bodies</t>
  </si>
  <si>
    <t>Rotation of Rigid Body under Constant Acceleration</t>
  </si>
  <si>
    <t>Rotation of Rigid Body under Variable Acceleration</t>
  </si>
  <si>
    <t>Instantaneous Center of Rotation</t>
  </si>
  <si>
    <t>Kennedy’s Rule</t>
  </si>
  <si>
    <t>Kinematics of Mechanisms</t>
  </si>
  <si>
    <t>Newton’s Second Law for Rigid Bodies</t>
  </si>
  <si>
    <t>One-Dimensional Motion of a Rigid Body</t>
  </si>
  <si>
    <t>Moment of Inertia of a Point Mass</t>
  </si>
  <si>
    <t>Mass Moment of Inertia of a Rigid Body</t>
  </si>
  <si>
    <t>Mass Radius of Gyration</t>
  </si>
  <si>
    <t>Parallel Axes Theorem- Dynamics</t>
  </si>
  <si>
    <t>Work-Energy of Rigid Bodies</t>
  </si>
  <si>
    <t>Kinetic Energy of a Rigid Body</t>
  </si>
  <si>
    <t>Impulse-Momentum of Rigid Bodies</t>
  </si>
  <si>
    <t>Principle of Angular Impulse and Momentum</t>
  </si>
  <si>
    <t>Free and Forced Vibrations</t>
  </si>
  <si>
    <t>Free Vibrations</t>
  </si>
  <si>
    <t>Torsional Vibrations</t>
  </si>
  <si>
    <t>Forced Vibrations</t>
  </si>
  <si>
    <t>Mechanics of Materials</t>
  </si>
  <si>
    <t>Uniaxial Stress-Strain</t>
  </si>
  <si>
    <t>Stress and Strain</t>
  </si>
  <si>
    <t>Poisson’s Ratio</t>
  </si>
  <si>
    <t>Percentage Changes</t>
  </si>
  <si>
    <t>Shear Stress- Strain</t>
  </si>
  <si>
    <t>Moduli of Elasticity</t>
  </si>
  <si>
    <t>Thermal Deformations</t>
  </si>
  <si>
    <t>Pressure Vessels</t>
  </si>
  <si>
    <t>Thin Cylinders</t>
  </si>
  <si>
    <t>Two Dimensional Stress and Strain</t>
  </si>
  <si>
    <t>Principal Stresses</t>
  </si>
  <si>
    <t>Mohr’s Circle</t>
  </si>
  <si>
    <t>Hooke’s Law</t>
  </si>
  <si>
    <t>Torsion</t>
  </si>
  <si>
    <t>Solid, Thick Walled Shafts</t>
  </si>
  <si>
    <t>Hollow, Thin Walled Shafts</t>
  </si>
  <si>
    <t>Beams</t>
  </si>
  <si>
    <t>Shear and Moment Diagrams</t>
  </si>
  <si>
    <t>Simply Supported Beam</t>
  </si>
  <si>
    <t>Bending Stresses in Beams</t>
  </si>
  <si>
    <t>Shear Stresses in Beams</t>
  </si>
  <si>
    <t>Deflection of Beams</t>
  </si>
  <si>
    <t>Principle of Superposition (Combined Loading)</t>
  </si>
  <si>
    <t>Composite Sections</t>
  </si>
  <si>
    <t>Columns</t>
  </si>
  <si>
    <t>Critical Axial Load</t>
  </si>
  <si>
    <t>Elastic Strain Energy</t>
  </si>
  <si>
    <t>Static Indeterminacy</t>
  </si>
  <si>
    <t>Material Properties and Processing</t>
  </si>
  <si>
    <t>Properties</t>
  </si>
  <si>
    <t>Mechanical Properties of Materials</t>
  </si>
  <si>
    <t>Electrical Properties of Materials</t>
  </si>
  <si>
    <t>Thermal Properties of Materials</t>
  </si>
  <si>
    <t>Stress-Strain Diagrams</t>
  </si>
  <si>
    <t>True vs. Engineering Stress-Strain Diagram</t>
  </si>
  <si>
    <t>Ferrous Metals</t>
  </si>
  <si>
    <t>Nonferrous Metals</t>
  </si>
  <si>
    <t>Non-Ferrous Metals</t>
  </si>
  <si>
    <t>Engineered Materials</t>
  </si>
  <si>
    <t>Manufacturing Processes</t>
  </si>
  <si>
    <t>Classification of Manufacturing Processes</t>
  </si>
  <si>
    <t>Hot Processes</t>
  </si>
  <si>
    <t>Cold Processes</t>
  </si>
  <si>
    <t>Powder Metallurgy</t>
  </si>
  <si>
    <t>CNC</t>
  </si>
  <si>
    <t>Non-Traditional Machining Processes</t>
  </si>
  <si>
    <t>Phase Diagrams, Phase Transformation, and Heat Treating</t>
  </si>
  <si>
    <t>Phase Diagrams</t>
  </si>
  <si>
    <t>Critical point</t>
  </si>
  <si>
    <t>Triple Point</t>
  </si>
  <si>
    <t>Iron-Iron Carbide Phase Diagram</t>
  </si>
  <si>
    <t>Important Points in Iron-Iron Carbide Diagram</t>
  </si>
  <si>
    <t>Allotropes of iron</t>
  </si>
  <si>
    <t>Lever Rule</t>
  </si>
  <si>
    <t>Heat Treatment</t>
  </si>
  <si>
    <t>Materials Selection</t>
  </si>
  <si>
    <t>Material Selection Factors</t>
  </si>
  <si>
    <t>Corrosion Mechanisms and Control</t>
  </si>
  <si>
    <t>Corrosion Terminology</t>
  </si>
  <si>
    <t>Corrosion Mechanism</t>
  </si>
  <si>
    <t>EMF and Galvanic Series</t>
  </si>
  <si>
    <t>Corrosion Control</t>
  </si>
  <si>
    <t>Failure Mechanisms</t>
  </si>
  <si>
    <t>Creep</t>
  </si>
  <si>
    <t>Fatigue</t>
  </si>
  <si>
    <t>Crack Propagation</t>
  </si>
  <si>
    <t>Fluid Mechanics</t>
  </si>
  <si>
    <t>Fluid Properties</t>
  </si>
  <si>
    <t>Common Fluid Properties</t>
  </si>
  <si>
    <t>Stress, Pressure and Viscosity</t>
  </si>
  <si>
    <t>Surface Tension and Capillarity</t>
  </si>
  <si>
    <t>Fluid Statics</t>
  </si>
  <si>
    <t>Pressure in Static Liquid</t>
  </si>
  <si>
    <t>Manometers</t>
  </si>
  <si>
    <t>Hydrostatic Forces on Submerged Surfaces</t>
  </si>
  <si>
    <t>Archimedes Principle and Buoyancy</t>
  </si>
  <si>
    <t>One Dimensional Fluid Flow</t>
  </si>
  <si>
    <t>Continuity Equation</t>
  </si>
  <si>
    <t>Bernoulli and Energy Equation</t>
  </si>
  <si>
    <t>Euler’s Equation</t>
  </si>
  <si>
    <t>Internal Flow</t>
  </si>
  <si>
    <t>Reynold’s Number</t>
  </si>
  <si>
    <t>Head Loss due to Flow</t>
  </si>
  <si>
    <t>Minor Losses</t>
  </si>
  <si>
    <t>Pressure Loss due to Laminar Flow</t>
  </si>
  <si>
    <t>Non-Circular Ducts</t>
  </si>
  <si>
    <t>External Flow</t>
  </si>
  <si>
    <t>Drag Force</t>
  </si>
  <si>
    <t>Flow Configurations</t>
  </si>
  <si>
    <t>Orifice</t>
  </si>
  <si>
    <t>Multi-path Pipeline</t>
  </si>
  <si>
    <t>Impulse-Momentum Principle</t>
  </si>
  <si>
    <t>Momentum Equation</t>
  </si>
  <si>
    <t>Pipe, Bends and Contractions</t>
  </si>
  <si>
    <t>Jet Propulsion</t>
  </si>
  <si>
    <t>Deflectors and Blades</t>
  </si>
  <si>
    <t>Compressible Flow</t>
  </si>
  <si>
    <t>Mach Number</t>
  </si>
  <si>
    <t>Isentropic Flow Relationships</t>
  </si>
  <si>
    <t>Normal Shock Relationships</t>
  </si>
  <si>
    <t>Fluid Machinery</t>
  </si>
  <si>
    <t>Centrifugal Pump</t>
  </si>
  <si>
    <t>Pump Power Equations</t>
  </si>
  <si>
    <t>Fan Characteristics</t>
  </si>
  <si>
    <t>Compressors</t>
  </si>
  <si>
    <t>Blowers</t>
  </si>
  <si>
    <t>Turbines</t>
  </si>
  <si>
    <t>NPSH/Cavitation</t>
  </si>
  <si>
    <t>Flow Measurement</t>
  </si>
  <si>
    <t>Pitot Tube</t>
  </si>
  <si>
    <t>Venturi Meter</t>
  </si>
  <si>
    <t>Dimensional Homogeneity</t>
  </si>
  <si>
    <t>Dimensional Analysis</t>
  </si>
  <si>
    <t>Similitude</t>
  </si>
  <si>
    <t>Airfoil Theory</t>
  </si>
  <si>
    <t>Thermodynamics</t>
  </si>
  <si>
    <t>Properties of Single Component Systems</t>
  </si>
  <si>
    <t>Thermodynamic Properties</t>
  </si>
  <si>
    <t>Properties of Two Phase Systems</t>
  </si>
  <si>
    <t>PVT Behavior</t>
  </si>
  <si>
    <t>Ideal Gas Laws</t>
  </si>
  <si>
    <t>Ideal Gas mixtures</t>
  </si>
  <si>
    <t>Real Gases</t>
  </si>
  <si>
    <t>First Law of Thermodynamics</t>
  </si>
  <si>
    <t>Closed Thermodynamic System</t>
  </si>
  <si>
    <t>Thermodynamic Processes</t>
  </si>
  <si>
    <t>Isochoric Process</t>
  </si>
  <si>
    <t>Isobaric Process</t>
  </si>
  <si>
    <t>Isothermal Process</t>
  </si>
  <si>
    <t>Adiabatic Process</t>
  </si>
  <si>
    <t>Polytropic Process</t>
  </si>
  <si>
    <t>Cyclic Process</t>
  </si>
  <si>
    <t>Open Thermodynamic System</t>
  </si>
  <si>
    <t>Steady Flow Energy Equation</t>
  </si>
  <si>
    <t>Basic Cycles</t>
  </si>
  <si>
    <t>Carnot Cycle</t>
  </si>
  <si>
    <t>Rankine Cycle</t>
  </si>
  <si>
    <t>Otto Cycle</t>
  </si>
  <si>
    <t>Diesel Cycle</t>
  </si>
  <si>
    <t>Coefficient of Performance</t>
  </si>
  <si>
    <t>Psychrometrics</t>
  </si>
  <si>
    <t>Psychrometric Chart</t>
  </si>
  <si>
    <t>HVAC Processes</t>
  </si>
  <si>
    <t>Second Law of Thermodynamics</t>
  </si>
  <si>
    <t>Kelvin Plank and Clausius Statement</t>
  </si>
  <si>
    <t>Entropy</t>
  </si>
  <si>
    <t>Exergy (Availability)</t>
  </si>
  <si>
    <t>Gibbs and Helmholtz Free Energy</t>
  </si>
  <si>
    <t>Combustion and Combustion Products</t>
  </si>
  <si>
    <t>Heats of Reaction</t>
  </si>
  <si>
    <t>Combustion of Hydrocarbon in Pure O2</t>
  </si>
  <si>
    <t>Combustion in Air</t>
  </si>
  <si>
    <t>Incomplete Combustion</t>
  </si>
  <si>
    <t>Refrigeration and Heat Pump Cycles</t>
  </si>
  <si>
    <t>Stages of Refrigeration Cycle</t>
  </si>
  <si>
    <t>Air Refrigeration Cycle</t>
  </si>
  <si>
    <t>Heat Transfer</t>
  </si>
  <si>
    <t xml:space="preserve">Rate Equations </t>
  </si>
  <si>
    <t>Conduction</t>
  </si>
  <si>
    <t>Convection</t>
  </si>
  <si>
    <t>Radiation (Stefan-Boltzmann Law)</t>
  </si>
  <si>
    <t xml:space="preserve">Conduction </t>
  </si>
  <si>
    <t>Conduction through a Plane Wall</t>
  </si>
  <si>
    <t>Conduction through a Cylindrical Wall</t>
  </si>
  <si>
    <t>Critical Insulation Radius</t>
  </si>
  <si>
    <t>Thermal Resistance of Various Objects</t>
  </si>
  <si>
    <t>Lumped System Analysis</t>
  </si>
  <si>
    <t>Sudden Convection</t>
  </si>
  <si>
    <t>Fins</t>
  </si>
  <si>
    <t xml:space="preserve">Convection </t>
  </si>
  <si>
    <t>Heat Exchangers</t>
  </si>
  <si>
    <t>Logarithmic Mean Temperature Difference (LMTD)</t>
  </si>
  <si>
    <t>Heat Exchanger Effectiveness</t>
  </si>
  <si>
    <t>NTU</t>
  </si>
  <si>
    <t>Effectiveness-NTU Relation</t>
  </si>
  <si>
    <t>Radiation</t>
  </si>
  <si>
    <t>Perfectly Black Body</t>
  </si>
  <si>
    <t>Shape Factors</t>
  </si>
  <si>
    <t>Net Energy Exchange between Two Bodies</t>
  </si>
  <si>
    <t>Measurements, Instrumentation and Controls</t>
  </si>
  <si>
    <t xml:space="preserve">Sensors and Transducers </t>
  </si>
  <si>
    <t>LVDT</t>
  </si>
  <si>
    <t>RTD</t>
  </si>
  <si>
    <t>Thermistors</t>
  </si>
  <si>
    <t>Thermocouple</t>
  </si>
  <si>
    <t>Strain Gage</t>
  </si>
  <si>
    <t>Wheatstone Bridge</t>
  </si>
  <si>
    <t>Piezoelectric Transducers</t>
  </si>
  <si>
    <t>Pressure Sensors</t>
  </si>
  <si>
    <t>pH Sensor</t>
  </si>
  <si>
    <t>Control Systems</t>
  </si>
  <si>
    <t>Dynamic System Response</t>
  </si>
  <si>
    <t>Dynamic System Response Terminology</t>
  </si>
  <si>
    <t>Time Response of a First Order System</t>
  </si>
  <si>
    <t>Time Response of a Second Order Underdamped System</t>
  </si>
  <si>
    <t>Steady State Error</t>
  </si>
  <si>
    <t>Measurement Uncertainty</t>
  </si>
  <si>
    <t>Cline-McClintock Equation</t>
  </si>
  <si>
    <t>Accuracy and Precision</t>
  </si>
  <si>
    <t>Mechanical Design and Analysis</t>
  </si>
  <si>
    <t xml:space="preserve">Springs </t>
  </si>
  <si>
    <t>Helical Linear Springs</t>
  </si>
  <si>
    <t>Equivalent Spring Constant</t>
  </si>
  <si>
    <t>Spring Material</t>
  </si>
  <si>
    <t>End Conditions for Compression Springs</t>
  </si>
  <si>
    <t>Helical Torsion Springs</t>
  </si>
  <si>
    <t>Bearings</t>
  </si>
  <si>
    <t>Basic Load Rating</t>
  </si>
  <si>
    <t>Equivalent radial Load</t>
  </si>
  <si>
    <t>Power Screws</t>
  </si>
  <si>
    <t>Power Screw Calculations</t>
  </si>
  <si>
    <t>Power Transmission</t>
  </si>
  <si>
    <t>Shaft and Axles</t>
  </si>
  <si>
    <t>Gearing</t>
  </si>
  <si>
    <t>Gear Trains</t>
  </si>
  <si>
    <t>Loading on Gears</t>
  </si>
  <si>
    <t>Lewis Equation</t>
  </si>
  <si>
    <t>Joining Methods</t>
  </si>
  <si>
    <t>Flanged Joints</t>
  </si>
  <si>
    <t>Riveted Joints</t>
  </si>
  <si>
    <t>Threaded Joints</t>
  </si>
  <si>
    <t>Fastner Groups in Shear</t>
  </si>
  <si>
    <t>Press/Shrink Fits</t>
  </si>
  <si>
    <t>Manufacturability</t>
  </si>
  <si>
    <t>Terminology of Limit Systems</t>
  </si>
  <si>
    <t>Types of Fits</t>
  </si>
  <si>
    <t>Feature Control Frame</t>
  </si>
  <si>
    <t xml:space="preserve">Basis of Fits </t>
  </si>
  <si>
    <t>Limit Gauges</t>
  </si>
  <si>
    <t>GD and T</t>
  </si>
  <si>
    <t>Static Loading Failure Theories</t>
  </si>
  <si>
    <t>Failure Theory for Brittle Materials</t>
  </si>
  <si>
    <t>Failure Theory for Ductile Materials</t>
  </si>
  <si>
    <t>Variable Loading Failure Theories</t>
  </si>
  <si>
    <t>Endurance Limits for Steel</t>
  </si>
  <si>
    <t xml:space="preserve">Quality and Reliability </t>
  </si>
  <si>
    <t>Reliability of an Assembly</t>
  </si>
  <si>
    <t>Components</t>
  </si>
  <si>
    <t>Components of a Hydraulic System</t>
  </si>
  <si>
    <t>Components of a Pneumatic System</t>
  </si>
  <si>
    <t>Valves in Pneumatic and Hydraulic Circuits</t>
  </si>
  <si>
    <t>Electromechanical Components</t>
  </si>
  <si>
    <t>Engineering Drawing Interpretations</t>
  </si>
  <si>
    <t>Engineering Drawing</t>
  </si>
  <si>
    <t>Cycles and Processes</t>
  </si>
  <si>
    <t>Internal Combustion Engines</t>
  </si>
  <si>
    <t>Gas Turbines</t>
  </si>
  <si>
    <t>Steam Power Plants</t>
  </si>
  <si>
    <t>Total</t>
  </si>
  <si>
    <t>ENGG.tv Mechanical Engineering Contents Summary (As on Jun 30, 2025)</t>
  </si>
  <si>
    <t>Theory Que</t>
  </si>
  <si>
    <t>Solved Examples with Video Explanation</t>
  </si>
  <si>
    <t>Mathematics (6-9)</t>
  </si>
  <si>
    <t>Probability and Statistics (4-6)</t>
  </si>
  <si>
    <t>Ethics and Professional Practice (4-6)</t>
  </si>
  <si>
    <t>Engineering Economics (4-6)</t>
  </si>
  <si>
    <t>Electricity and Magnetism (5-8)</t>
  </si>
  <si>
    <t>Statics (9-14)</t>
  </si>
  <si>
    <t>Dynamics, Kinematics and Vibrations (10-15)</t>
  </si>
  <si>
    <t>Mechanics of Materials (9-14)</t>
  </si>
  <si>
    <t>Material Properties and Processing (7-11)</t>
  </si>
  <si>
    <t>Fluid Mechanics (10-15)</t>
  </si>
  <si>
    <t>Thermodynamics (10-15)</t>
  </si>
  <si>
    <t>Heat Transfer (7-11)</t>
  </si>
  <si>
    <t>Measurements, Instrumentation and Controls (5-8)</t>
  </si>
  <si>
    <t>Mechanical Design and Analysis (10-15)</t>
  </si>
  <si>
    <t>Total Videos</t>
  </si>
  <si>
    <t>Straight Line</t>
  </si>
  <si>
    <t>Circle</t>
  </si>
  <si>
    <t>Single Variable Calculus</t>
  </si>
  <si>
    <t>Standard Deviation</t>
  </si>
  <si>
    <t>Arrangements and Selections</t>
  </si>
  <si>
    <t>Probability Functions, Distributions and Expected Values</t>
  </si>
  <si>
    <t>Chemistry</t>
  </si>
  <si>
    <t>Oxidation and Reduction</t>
  </si>
  <si>
    <t>Oxidation and Reduction Reactions</t>
  </si>
  <si>
    <t>Acids and Bases</t>
  </si>
  <si>
    <t>pH</t>
  </si>
  <si>
    <t>Buffers</t>
  </si>
  <si>
    <t>Chemical Reactions</t>
  </si>
  <si>
    <t>Stoichiometry</t>
  </si>
  <si>
    <t>Molarity, Normality and Molality</t>
  </si>
  <si>
    <t>Equilibrium</t>
  </si>
  <si>
    <t>Bioconversion</t>
  </si>
  <si>
    <t>Data Acquistion</t>
  </si>
  <si>
    <t>Control System</t>
  </si>
  <si>
    <t>Logging</t>
  </si>
  <si>
    <t>Aliasing</t>
  </si>
  <si>
    <t>Nyquist Theorem</t>
  </si>
  <si>
    <t>Analog Filters</t>
  </si>
  <si>
    <t>Amplification</t>
  </si>
  <si>
    <t>Signal Interface</t>
  </si>
  <si>
    <t>Signal Processing</t>
  </si>
  <si>
    <t>A/D Converters</t>
  </si>
  <si>
    <t>D/A Converters</t>
  </si>
  <si>
    <t>Logic Diagrams</t>
  </si>
  <si>
    <t>Logic Gates</t>
  </si>
  <si>
    <t>Safety, Health and Environment</t>
  </si>
  <si>
    <t>Industrial Hygiene</t>
  </si>
  <si>
    <t>Carcinogens</t>
  </si>
  <si>
    <t>Toxicology</t>
  </si>
  <si>
    <t>Exposure Limits</t>
  </si>
  <si>
    <t>Radiation Exposure</t>
  </si>
  <si>
    <t>Biohazards</t>
  </si>
  <si>
    <t>Half Life</t>
  </si>
  <si>
    <t>Basic Safety Equipment</t>
  </si>
  <si>
    <t>Pressure-Relief Valves</t>
  </si>
  <si>
    <t>Emergency Shutoffs</t>
  </si>
  <si>
    <t>Fire Prevention and Control</t>
  </si>
  <si>
    <t>Personal Protective Equipment</t>
  </si>
  <si>
    <t>Gas Detection and Monitoring</t>
  </si>
  <si>
    <t>Electrical Safety</t>
  </si>
  <si>
    <t>Effect of Electrical Current on Human Body</t>
  </si>
  <si>
    <t>Confined Space Entry and Ventilation Rates</t>
  </si>
  <si>
    <t>Confined Space Entry</t>
  </si>
  <si>
    <t>Ventilation Rates</t>
  </si>
  <si>
    <t>Hazard Communication</t>
  </si>
  <si>
    <t>SDS</t>
  </si>
  <si>
    <t>Proper Labeling</t>
  </si>
  <si>
    <t>Concentrations</t>
  </si>
  <si>
    <t>Fire Ratings</t>
  </si>
  <si>
    <t>Safety Equipment</t>
  </si>
  <si>
    <t>Project Selection</t>
  </si>
  <si>
    <t>Comparison of Projects</t>
  </si>
  <si>
    <t>Lease/Buy/Make</t>
  </si>
  <si>
    <t>Uncertainty</t>
  </si>
  <si>
    <t>Risk Terminology</t>
  </si>
  <si>
    <t>Types of Risks</t>
  </si>
  <si>
    <t>Risk Assessment</t>
  </si>
  <si>
    <t>Vector Analysis</t>
  </si>
  <si>
    <t>Force Systems</t>
  </si>
  <si>
    <t>Force Couple System</t>
  </si>
  <si>
    <t>Couple</t>
  </si>
  <si>
    <t>Condition for Static Equilibrium</t>
  </si>
  <si>
    <t>Internal Forces in Rigid Bodies</t>
  </si>
  <si>
    <t>Machines</t>
  </si>
  <si>
    <t>Centroids and Moment of Inertia</t>
  </si>
  <si>
    <t>Perpendicular Moment of Inertia</t>
  </si>
  <si>
    <t>Parallel Moment of Inertia</t>
  </si>
  <si>
    <t>Free-Body Diagrams</t>
  </si>
  <si>
    <t>Weight and Mass Computations</t>
  </si>
  <si>
    <t>Conversion between Units</t>
  </si>
  <si>
    <t>Dynamics</t>
  </si>
  <si>
    <t>Linear Motion</t>
  </si>
  <si>
    <t>Angular Motion</t>
  </si>
  <si>
    <t>Mass Moment of Inertia</t>
  </si>
  <si>
    <t>Impulse and Momentum</t>
  </si>
  <si>
    <t>Work-Energy and Power</t>
  </si>
  <si>
    <t>Vibrations</t>
  </si>
  <si>
    <t>Strength of Materials</t>
  </si>
  <si>
    <t>Failure Theories</t>
  </si>
  <si>
    <t>Materials</t>
  </si>
  <si>
    <t>Chemical Properties of Materials</t>
  </si>
  <si>
    <t>Phase Diagrams and Heat Treating</t>
  </si>
  <si>
    <t>Dimensionless Numbers</t>
  </si>
  <si>
    <t>Froude Number</t>
  </si>
  <si>
    <t>Energy, Impulse, and Momentum</t>
  </si>
  <si>
    <t>Pipe Flow</t>
  </si>
  <si>
    <t>Open Channel Flow</t>
  </si>
  <si>
    <t>Manning’s Equation</t>
  </si>
  <si>
    <t>Fluid Transport Systems</t>
  </si>
  <si>
    <t>Weir</t>
  </si>
  <si>
    <t>Turbomachinery</t>
  </si>
  <si>
    <t>Performance of Components</t>
  </si>
  <si>
    <t>Ideal Gas Law</t>
  </si>
  <si>
    <t>Real Gas Law</t>
  </si>
  <si>
    <t>Basic Electrical Engineering</t>
  </si>
  <si>
    <t>Induced Voltage</t>
  </si>
  <si>
    <t>Maximum Power Transfer Theorem</t>
  </si>
  <si>
    <t>Resonance</t>
  </si>
  <si>
    <t>AC Power</t>
  </si>
  <si>
    <t>Balanced 3-Phased Systems</t>
  </si>
  <si>
    <t>AC Electrical Motors</t>
  </si>
  <si>
    <t>DC Motors</t>
  </si>
  <si>
    <t>Measuring Devices</t>
  </si>
  <si>
    <t>Voltmeter, Ammeter and Wattmeter</t>
  </si>
  <si>
    <t>Three-Phase Power</t>
  </si>
  <si>
    <t>Motor Efficiency</t>
  </si>
  <si>
    <t>Balanced Load</t>
  </si>
  <si>
    <t>Power Equation</t>
  </si>
  <si>
    <r>
      <rPr>
        <b val="1"/>
        <sz val="18"/>
        <color indexed="8"/>
        <rFont val="Helvetica Neue"/>
      </rPr>
      <t>Thermodynamics and Heat Transfer</t>
    </r>
  </si>
  <si>
    <t>Real Gas</t>
  </si>
  <si>
    <t>Fourier’s Law</t>
  </si>
  <si>
    <t>Thermal Resistance</t>
  </si>
  <si>
    <t>Newton’s Law of Cooling</t>
  </si>
  <si>
    <t>Types of Convection</t>
  </si>
  <si>
    <t>Stefan-Boltzmann Law</t>
  </si>
  <si>
    <t>Kirchhoff’s Law of Radiation</t>
  </si>
  <si>
    <t>Net Radiation Exchange</t>
  </si>
  <si>
    <t>ENGG.tv Contents Summary (As on Jul 23, 2024)</t>
  </si>
  <si>
    <t>Thermodynamics and Heat Transfer</t>
  </si>
  <si>
    <t>Mathematics and Statistics</t>
  </si>
  <si>
    <t>Single-Variable Calculus</t>
  </si>
  <si>
    <t>Definite Integrals</t>
  </si>
  <si>
    <t>Vector Operations</t>
  </si>
  <si>
    <t>Statistics</t>
  </si>
  <si>
    <t>Probability- Basic Concepts</t>
  </si>
  <si>
    <t>Mean, Median, Mode</t>
  </si>
  <si>
    <t>Licensure</t>
  </si>
  <si>
    <t>Contracts and Contract Law</t>
  </si>
  <si>
    <t>Agreements and Contract</t>
  </si>
  <si>
    <t>Break-Even Analysis</t>
  </si>
  <si>
    <t>LCA (Life Cycle Assessment)</t>
  </si>
  <si>
    <t>Alternative Energy Sources</t>
  </si>
  <si>
    <t>Resultant of Forces</t>
  </si>
  <si>
    <t>Concurrent Force Systems</t>
  </si>
  <si>
    <t>Types of Loads</t>
  </si>
  <si>
    <t>Free Body Diagram</t>
  </si>
  <si>
    <t>Types of Supports</t>
  </si>
  <si>
    <t>Frames and Trusses</t>
  </si>
  <si>
    <t>Centroids of Area</t>
  </si>
  <si>
    <t>Area Moments of Inertia</t>
  </si>
  <si>
    <t>Kinematics</t>
  </si>
  <si>
    <t>General Rotation of a Rigid Body</t>
  </si>
  <si>
    <t>Force Acceleration</t>
  </si>
  <si>
    <t>Work, Energy and Power</t>
  </si>
  <si>
    <t>Mix Design of Concrete and Asphalt</t>
  </si>
  <si>
    <t>Concrete and Asphalt</t>
  </si>
  <si>
    <t>Test Methods and Specifications</t>
  </si>
  <si>
    <t>Physical and Mechanical Properties</t>
  </si>
  <si>
    <t>Mechanical Properties of Material</t>
  </si>
  <si>
    <t>Physical Properties of Material</t>
  </si>
  <si>
    <t>Pascal’s Law</t>
  </si>
  <si>
    <t>Euler's Equation</t>
  </si>
  <si>
    <t>Pipes, Bends and Contractions</t>
  </si>
  <si>
    <t>Surveying</t>
  </si>
  <si>
    <t>Angles, Distances, and Trigonometry</t>
  </si>
  <si>
    <t>Angles and Distances</t>
  </si>
  <si>
    <t>Area Computations</t>
  </si>
  <si>
    <t>Area of a Traverse by Coordinates</t>
  </si>
  <si>
    <t>Triangle Method</t>
  </si>
  <si>
    <t>Latitudes and Departures</t>
  </si>
  <si>
    <t>Earthwork and Volume Computations</t>
  </si>
  <si>
    <t>Earthwork</t>
  </si>
  <si>
    <t>Volume</t>
  </si>
  <si>
    <t>Coordinate Systems</t>
  </si>
  <si>
    <t>State Plane</t>
  </si>
  <si>
    <t>Latitude/Longitude</t>
  </si>
  <si>
    <t>Leveling</t>
  </si>
  <si>
    <t>Differential</t>
  </si>
  <si>
    <t>Elevations</t>
  </si>
  <si>
    <t>Percent Grade</t>
  </si>
  <si>
    <t>Water Resources and Environmental Engineering</t>
  </si>
  <si>
    <t>Basic Hydrology</t>
  </si>
  <si>
    <t>Infiltration</t>
  </si>
  <si>
    <t>Rainfall</t>
  </si>
  <si>
    <t>Runoff</t>
  </si>
  <si>
    <t>Watersheds</t>
  </si>
  <si>
    <t>Basic Hydraulics</t>
  </si>
  <si>
    <t>Open-Channel Flow</t>
  </si>
  <si>
    <t>Pumps</t>
  </si>
  <si>
    <t>NPSH and Cavitation</t>
  </si>
  <si>
    <t>Pump Performance Curves</t>
  </si>
  <si>
    <t>Water Distribution Systems</t>
  </si>
  <si>
    <t>Distribution Systems</t>
  </si>
  <si>
    <t>Flood Control</t>
  </si>
  <si>
    <t>Dams</t>
  </si>
  <si>
    <t>Routings</t>
  </si>
  <si>
    <t>Spillways</t>
  </si>
  <si>
    <t>Stormwater</t>
  </si>
  <si>
    <t>Detention</t>
  </si>
  <si>
    <t>Stormwater Routing</t>
  </si>
  <si>
    <t>Stormwater Quality</t>
  </si>
  <si>
    <t>Collection Systems</t>
  </si>
  <si>
    <t>Wastewater Collection Systems</t>
  </si>
  <si>
    <t>Stormwater Collection Systems</t>
  </si>
  <si>
    <t>Groundwater</t>
  </si>
  <si>
    <t>Flow</t>
  </si>
  <si>
    <t>Darcy’s Law</t>
  </si>
  <si>
    <t>Drawdowns</t>
  </si>
  <si>
    <t>Water Quality</t>
  </si>
  <si>
    <t>Ground and Surface</t>
  </si>
  <si>
    <t>Basic Water Chemistry- pH</t>
  </si>
  <si>
    <t>Testing and Standards</t>
  </si>
  <si>
    <t>Water Standards and Testing</t>
  </si>
  <si>
    <t>Wastewater Standards and Testing</t>
  </si>
  <si>
    <t>Air Standards and Testing</t>
  </si>
  <si>
    <t>Noise Standards and Testing</t>
  </si>
  <si>
    <t>Water and Wastewater Treatment</t>
  </si>
  <si>
    <t>Biological Processes</t>
  </si>
  <si>
    <t>Softening</t>
  </si>
  <si>
    <t>Drinking Water Treatment</t>
  </si>
  <si>
    <t>Structural Engineering</t>
  </si>
  <si>
    <t>Structural Analysis</t>
  </si>
  <si>
    <t>Influence Lines for Beams and Trusses</t>
  </si>
  <si>
    <t>Moving Concentrated Load Sets</t>
  </si>
  <si>
    <t>Beam Stiffness and Moment Carryover</t>
  </si>
  <si>
    <t>Truss Deflection by Unit Load Method</t>
  </si>
  <si>
    <t>Frame Deflection by Unit Load Method</t>
  </si>
  <si>
    <t>Deflection</t>
  </si>
  <si>
    <t>Column Analysis</t>
  </si>
  <si>
    <t>Column Buckling</t>
  </si>
  <si>
    <t>Structural Determinacy and Stability Analysis</t>
  </si>
  <si>
    <t>Determinacy and Stability</t>
  </si>
  <si>
    <t>Elementary Statically Indeterminate Structures</t>
  </si>
  <si>
    <t>Force Method of Analysis</t>
  </si>
  <si>
    <t>Member Fixed-End Moments</t>
  </si>
  <si>
    <t>Loads, Load Combinations, and Load Paths</t>
  </si>
  <si>
    <t>Load Paths</t>
  </si>
  <si>
    <t>Load Combinations</t>
  </si>
  <si>
    <t>Tributary Areas</t>
  </si>
  <si>
    <t>Design of Steel Components</t>
  </si>
  <si>
    <t>Tension Members</t>
  </si>
  <si>
    <t>Connections</t>
  </si>
  <si>
    <t>Design of Reinforced Concrete Components</t>
  </si>
  <si>
    <t>Codes and Design Philosophies</t>
  </si>
  <si>
    <t>Short Columns</t>
  </si>
  <si>
    <t>Geotechnical Engineering</t>
  </si>
  <si>
    <t>Index Properties and Soil Classifications</t>
  </si>
  <si>
    <t>Index Properties</t>
  </si>
  <si>
    <t>Soil Classification</t>
  </si>
  <si>
    <t>Phase Relations</t>
  </si>
  <si>
    <t>Volume Relations</t>
  </si>
  <si>
    <t>Weight Relations</t>
  </si>
  <si>
    <t>Laboratory and Field Tests</t>
  </si>
  <si>
    <t>Effective Stress</t>
  </si>
  <si>
    <t>Stability of Retaining Structures</t>
  </si>
  <si>
    <t>Active/Passive/At-Rest Pressure</t>
  </si>
  <si>
    <t>Shear Strength</t>
  </si>
  <si>
    <t>Bearing Capacity</t>
  </si>
  <si>
    <t>Shallow Foundation</t>
  </si>
  <si>
    <t>Deep Foundation</t>
  </si>
  <si>
    <t>Foundation Types</t>
  </si>
  <si>
    <t>Spread Footings</t>
  </si>
  <si>
    <t>Deep Foundations</t>
  </si>
  <si>
    <t>Wall Footings</t>
  </si>
  <si>
    <t>Mats</t>
  </si>
  <si>
    <t>Consolidation and Differential Settlement</t>
  </si>
  <si>
    <t>Slope Stability</t>
  </si>
  <si>
    <t>Fills</t>
  </si>
  <si>
    <t>Embankments</t>
  </si>
  <si>
    <t>Cuts</t>
  </si>
  <si>
    <t>Soil Stabilization</t>
  </si>
  <si>
    <t>Soil Erosion</t>
  </si>
  <si>
    <t>Chemical Additives</t>
  </si>
  <si>
    <t>Geosynthetics</t>
  </si>
  <si>
    <t>Transportation Engineering</t>
  </si>
  <si>
    <t>Geometric Design</t>
  </si>
  <si>
    <t>Streets</t>
  </si>
  <si>
    <t>Highways</t>
  </si>
  <si>
    <t>Intersections</t>
  </si>
  <si>
    <t>Pavement System Design</t>
  </si>
  <si>
    <t>Thickness</t>
  </si>
  <si>
    <t>Subgrade</t>
  </si>
  <si>
    <t>Drainage</t>
  </si>
  <si>
    <t>Rehabilitation</t>
  </si>
  <si>
    <t>Traffic Capacity and Flow Theory</t>
  </si>
  <si>
    <t>Flow Characteristics Studies</t>
  </si>
  <si>
    <t>Capacity Studies</t>
  </si>
  <si>
    <t>Traffic Control Devices</t>
  </si>
  <si>
    <t>Signals</t>
  </si>
  <si>
    <t>Transportation Planning</t>
  </si>
  <si>
    <t>Travel Forecasts</t>
  </si>
  <si>
    <t>Safety</t>
  </si>
  <si>
    <t>Trip Generation</t>
  </si>
  <si>
    <t>Construction Engineering</t>
  </si>
  <si>
    <t>Project Administration</t>
  </si>
  <si>
    <t>Documents</t>
  </si>
  <si>
    <t>Management</t>
  </si>
  <si>
    <t>Procurement</t>
  </si>
  <si>
    <t>Delivery Methods</t>
  </si>
  <si>
    <t>Construction Operations and Methods</t>
  </si>
  <si>
    <t>Construction Equipment</t>
  </si>
  <si>
    <t>Productivity Analysis</t>
  </si>
  <si>
    <t>Temporary Erosion Control</t>
  </si>
  <si>
    <t>Project Controls</t>
  </si>
  <si>
    <t>Earned Value</t>
  </si>
  <si>
    <t>Scheduling</t>
  </si>
  <si>
    <t>Resource Allocation</t>
  </si>
  <si>
    <t>Activity Relationships</t>
  </si>
  <si>
    <t>Construction Estimating</t>
  </si>
  <si>
    <t>Requirements of Estimation and Costing</t>
  </si>
  <si>
    <t>Methods of Taking Out Quantities</t>
  </si>
  <si>
    <t>Interpretation of Engineering Drawings</t>
  </si>
  <si>
    <t>ENGG.tv Contents Summary (As on May 15, 2024)</t>
  </si>
  <si>
    <t>Mathematics and Statistics (8-12)</t>
  </si>
  <si>
    <t>Engineering Economics (5-8)</t>
  </si>
  <si>
    <t>Statics (8-12)</t>
  </si>
  <si>
    <t>Dynamics (4-6)</t>
  </si>
  <si>
    <t>Mechanics of Materials (7-11)</t>
  </si>
  <si>
    <t>Materials (5-8)</t>
  </si>
  <si>
    <t>Fluid Mechanics (6-9)</t>
  </si>
  <si>
    <t>Surveying (6-9)</t>
  </si>
  <si>
    <t>Water Resources and Env Engg (10-15)</t>
  </si>
  <si>
    <t>Structural Engineering (10-15)</t>
  </si>
  <si>
    <t>Geotechnical Engineering (10-15)</t>
  </si>
  <si>
    <t>Transportation Engineering (9-14)</t>
  </si>
  <si>
    <t>Construction Engineering (8-12)</t>
  </si>
  <si>
    <t>ENGG.tv Status for Various Disciplines (As on May 15, 2024)</t>
  </si>
  <si>
    <t>Civil</t>
  </si>
  <si>
    <t>Other</t>
  </si>
  <si>
    <t>Mechanical</t>
  </si>
  <si>
    <t>Sample Test with Solutions</t>
  </si>
  <si>
    <t>Yes</t>
  </si>
  <si>
    <t>Solved Examples</t>
  </si>
  <si>
    <t>Algebra and Trigonometry</t>
  </si>
  <si>
    <t>Algebraic Equations and Roots</t>
  </si>
  <si>
    <t>Complex Numbers</t>
  </si>
  <si>
    <t>Different Forms of Complex Numbers</t>
  </si>
  <si>
    <t>Algebraic Operations on Complex Numbers</t>
  </si>
  <si>
    <t>De Moiver’s Theorem</t>
  </si>
  <si>
    <t>Roots of Complex Number</t>
  </si>
  <si>
    <t>Discrete Mathematics</t>
  </si>
  <si>
    <t>Terminology and Symbols</t>
  </si>
  <si>
    <t>Matrix of Relations</t>
  </si>
  <si>
    <t>Diagraph</t>
  </si>
  <si>
    <t>Distance Formula</t>
  </si>
  <si>
    <t>Partial Fractions</t>
  </si>
  <si>
    <t xml:space="preserve">Trigonometric Functions </t>
  </si>
  <si>
    <t>Ordinary Differential Equations</t>
  </si>
  <si>
    <t>Second Order Homogeneous DE</t>
  </si>
  <si>
    <t>Finding Differential Equation from Solution</t>
  </si>
  <si>
    <t>Applying Boundary Conditions</t>
  </si>
  <si>
    <t>Types of Matrices</t>
  </si>
  <si>
    <t>Addition and Subtraction of Vectors</t>
  </si>
  <si>
    <t>Probability Distributions</t>
  </si>
  <si>
    <t>Discounted Cash Flow Factors</t>
  </si>
  <si>
    <t>Net Present Value</t>
  </si>
  <si>
    <t>Cost Types and Breakdowns</t>
  </si>
  <si>
    <t>Cost Types</t>
  </si>
  <si>
    <t>Risk Identification</t>
  </si>
  <si>
    <t>Economic Analyses</t>
  </si>
  <si>
    <t>Payback Period Analysis</t>
  </si>
  <si>
    <t>Cost-Benefit Analysis</t>
  </si>
  <si>
    <t>Overhead Analysis</t>
  </si>
  <si>
    <t>Properties of Materials</t>
  </si>
  <si>
    <t>Semiconductor</t>
  </si>
  <si>
    <t>Tunneling</t>
  </si>
  <si>
    <t>Diffusion/Drift Current</t>
  </si>
  <si>
    <t>Energy Bands</t>
  </si>
  <si>
    <t>Doping Bands</t>
  </si>
  <si>
    <t>P-N Theory</t>
  </si>
  <si>
    <t>Electrical</t>
  </si>
  <si>
    <t>Conductivity</t>
  </si>
  <si>
    <t>Resistivity</t>
  </si>
  <si>
    <t>Permittivity</t>
  </si>
  <si>
    <t>Permeability</t>
  </si>
  <si>
    <t>Noise</t>
  </si>
  <si>
    <t>Thermal</t>
  </si>
  <si>
    <t>Thermal Conductivity</t>
  </si>
  <si>
    <t>Thermal Expansion</t>
  </si>
  <si>
    <t>Circuit Analysis</t>
  </si>
  <si>
    <t>KCL, KVL</t>
  </si>
  <si>
    <t>Kirchhoff’s Laws</t>
  </si>
  <si>
    <t>Series/Parallel Circuits</t>
  </si>
  <si>
    <t>Resistances in Series</t>
  </si>
  <si>
    <t>Resistances in Parallel</t>
  </si>
  <si>
    <t>Thevenin/Norton</t>
  </si>
  <si>
    <t>Thevenin Theorem</t>
  </si>
  <si>
    <t>Norton Theorem</t>
  </si>
  <si>
    <t>Node/Loop Analysis</t>
  </si>
  <si>
    <t>Nodal Analysis</t>
  </si>
  <si>
    <t>Mesh Analysis</t>
  </si>
  <si>
    <t>Waveform Analysis</t>
  </si>
  <si>
    <t>Frequency</t>
  </si>
  <si>
    <t xml:space="preserve">Phase </t>
  </si>
  <si>
    <t>Wavelength</t>
  </si>
  <si>
    <t>Phasors</t>
  </si>
  <si>
    <t>Phasors in Pure RLC Circuits</t>
  </si>
  <si>
    <t>Phasors of Mixed Circuits</t>
  </si>
  <si>
    <t>Impedance</t>
  </si>
  <si>
    <t>Linear Systems</t>
  </si>
  <si>
    <t>Frequency/Transient Response</t>
  </si>
  <si>
    <t>Transient Response</t>
  </si>
  <si>
    <t>Transfer Functions</t>
  </si>
  <si>
    <t>General Layout of Block Diagrams</t>
  </si>
  <si>
    <t>Sampling</t>
  </si>
  <si>
    <t>Nyquist Fliter</t>
  </si>
  <si>
    <t>Digital Filters</t>
  </si>
  <si>
    <t>Difference Equations</t>
  </si>
  <si>
    <t>Z-Transforms</t>
  </si>
  <si>
    <t>Electronics</t>
  </si>
  <si>
    <t>Discrete Devices</t>
  </si>
  <si>
    <t>Diodes</t>
  </si>
  <si>
    <t>Transistors</t>
  </si>
  <si>
    <t>Thyristors</t>
  </si>
  <si>
    <t>Amplifiers</t>
  </si>
  <si>
    <t>OPAMP</t>
  </si>
  <si>
    <t>Ideal OPAMP</t>
  </si>
  <si>
    <t>Non-Ideal OPAMP</t>
  </si>
  <si>
    <t>Instrumentation</t>
  </si>
  <si>
    <t>Power Electronics</t>
  </si>
  <si>
    <t>Rectifiers</t>
  </si>
  <si>
    <t>Inverters</t>
  </si>
  <si>
    <t>Converters</t>
  </si>
  <si>
    <t>Power Systems</t>
  </si>
  <si>
    <t>Power Theory</t>
  </si>
  <si>
    <t>Power Factor</t>
  </si>
  <si>
    <t>Single and Three Phase</t>
  </si>
  <si>
    <t>Voltage Regulation</t>
  </si>
  <si>
    <t>Transmission and Distribution</t>
  </si>
  <si>
    <t>Real/Reactive Losses</t>
  </si>
  <si>
    <t>Efficiency</t>
  </si>
  <si>
    <t>Voltage Drop</t>
  </si>
  <si>
    <t>Delta/Wye Connection</t>
  </si>
  <si>
    <t>Principle and Construction of Transformer</t>
  </si>
  <si>
    <t>Single Phase and Three Phase</t>
  </si>
  <si>
    <t>Reflected Impedance</t>
  </si>
  <si>
    <t>Losses in Transformer</t>
  </si>
  <si>
    <t>Synchronus Motors</t>
  </si>
  <si>
    <t>Induction Motors</t>
  </si>
  <si>
    <t>Electromagnetics</t>
  </si>
  <si>
    <t>Electrostatics/Electromagnetics</t>
  </si>
  <si>
    <t>Special Relationships</t>
  </si>
  <si>
    <t>Electrodynamics</t>
  </si>
  <si>
    <t>Maxwell Equations</t>
  </si>
  <si>
    <t>Wave Propagation</t>
  </si>
  <si>
    <t>Transmission Lines</t>
  </si>
  <si>
    <t>High Frequency</t>
  </si>
  <si>
    <t>Block Diagrams</t>
  </si>
  <si>
    <t>Block Diagram Reduction Techniques</t>
  </si>
  <si>
    <t>Bode Plots</t>
  </si>
  <si>
    <t>Routh Herwitz Criterion</t>
  </si>
  <si>
    <t>Controller Performance</t>
  </si>
  <si>
    <t>Communications</t>
  </si>
  <si>
    <t>Basic Modem Concepts</t>
  </si>
  <si>
    <t>Basic Concepts of Modulation</t>
  </si>
  <si>
    <t>AM</t>
  </si>
  <si>
    <t>FM</t>
  </si>
  <si>
    <t>PCM</t>
  </si>
  <si>
    <t>Fourier Transform and Fourier Series</t>
  </si>
  <si>
    <t>Fourier Transform</t>
  </si>
  <si>
    <t>Fourier series</t>
  </si>
  <si>
    <t>Multiplexing</t>
  </si>
  <si>
    <t>Time Division Multiplexing</t>
  </si>
  <si>
    <t>Frequency Division Multiplexing</t>
  </si>
  <si>
    <t>Code Division Multiplexing</t>
  </si>
  <si>
    <t>Digital Communication</t>
  </si>
  <si>
    <t>Computer Networks</t>
  </si>
  <si>
    <t>Routing and Switching</t>
  </si>
  <si>
    <t>Network Topologies</t>
  </si>
  <si>
    <t>Mesh</t>
  </si>
  <si>
    <t>Ring</t>
  </si>
  <si>
    <t>Star</t>
  </si>
  <si>
    <t>Network Types</t>
  </si>
  <si>
    <t>LAN</t>
  </si>
  <si>
    <t>WAN</t>
  </si>
  <si>
    <t>Internet</t>
  </si>
  <si>
    <t>Network Models</t>
  </si>
  <si>
    <t>OSI</t>
  </si>
  <si>
    <t>TCP/IP</t>
  </si>
  <si>
    <t>Network Intrusion Detection and Prevention</t>
  </si>
  <si>
    <t>Firewalls</t>
  </si>
  <si>
    <t>Endpoint Detection</t>
  </si>
  <si>
    <t>Network Detection</t>
  </si>
  <si>
    <t>Security</t>
  </si>
  <si>
    <t>Port Scanning</t>
  </si>
  <si>
    <t>Network Vulnerability Testing</t>
  </si>
  <si>
    <t>Web Vulnerability Testing</t>
  </si>
  <si>
    <t>Penetration Testing</t>
  </si>
  <si>
    <t>Security Triad</t>
  </si>
  <si>
    <t>Digital Systems</t>
  </si>
  <si>
    <t>Number Systems</t>
  </si>
  <si>
    <t>Binary, Octal and Hexadecimal Systems</t>
  </si>
  <si>
    <t>Conversion From/to Decimal Number Systems</t>
  </si>
  <si>
    <t>Fractions in Numbers Systems</t>
  </si>
  <si>
    <t>BCD and Grey Code</t>
  </si>
  <si>
    <t>Boolean Logic</t>
  </si>
  <si>
    <t>Basic Boolean operations</t>
  </si>
  <si>
    <t>De Morgan’s Theorems</t>
  </si>
  <si>
    <t>Logic Gates and Circuits</t>
  </si>
  <si>
    <t>Logic Minimization</t>
  </si>
  <si>
    <t>SOP</t>
  </si>
  <si>
    <t>POS</t>
  </si>
  <si>
    <t>Karnaugh Maps</t>
  </si>
  <si>
    <t>Flip-Flops and Counters</t>
  </si>
  <si>
    <t>S-R Flip Flop</t>
  </si>
  <si>
    <t>J-K Flip Fop</t>
  </si>
  <si>
    <t>D Flip-Flop</t>
  </si>
  <si>
    <t>Programmable Logic Devices and Gate Arrays</t>
  </si>
  <si>
    <t>PROM</t>
  </si>
  <si>
    <t>PAL</t>
  </si>
  <si>
    <t>PLA</t>
  </si>
  <si>
    <t>State Machine Design</t>
  </si>
  <si>
    <t>Timing</t>
  </si>
  <si>
    <t>Timing Diagrams</t>
  </si>
  <si>
    <t>Asynchronous Inputs</t>
  </si>
  <si>
    <t>Race Conditions and Other Hazards</t>
  </si>
  <si>
    <t>Computer Systems</t>
  </si>
  <si>
    <t>Microprocessors</t>
  </si>
  <si>
    <t>Basic Microspocessor Terminology</t>
  </si>
  <si>
    <t>8085 Microprocessor Architecture</t>
  </si>
  <si>
    <t>Instruction Set in 8085</t>
  </si>
  <si>
    <t>8086 Microprocessors Architecture and Operation</t>
  </si>
  <si>
    <t>Memory Technology and Systems</t>
  </si>
  <si>
    <t>Interfacing</t>
  </si>
  <si>
    <t>Software Engineering</t>
  </si>
  <si>
    <t>Algorithms</t>
  </si>
  <si>
    <t>Sorting</t>
  </si>
  <si>
    <t>Searching</t>
  </si>
  <si>
    <t>Complexity</t>
  </si>
  <si>
    <t>Big O</t>
  </si>
  <si>
    <t>Data Structures</t>
  </si>
  <si>
    <t>Lists</t>
  </si>
  <si>
    <t>Trees</t>
  </si>
  <si>
    <t>Vectors in Data Structures</t>
  </si>
  <si>
    <t>Structures</t>
  </si>
  <si>
    <t>Array</t>
  </si>
  <si>
    <t>Software Implementation</t>
  </si>
  <si>
    <t>Iteration</t>
  </si>
  <si>
    <t>Conditionals</t>
  </si>
  <si>
    <t>Recursion</t>
  </si>
  <si>
    <t>Control Flow</t>
  </si>
  <si>
    <t>Scripting</t>
  </si>
  <si>
    <t>Testing</t>
  </si>
  <si>
    <t>ENGG.tv Contents Summary (As on July 29, 2023)</t>
  </si>
  <si>
    <t>Software Engg.</t>
  </si>
  <si>
    <t>Key Terms in Flowchart and Programming</t>
  </si>
  <si>
    <t>Regression, Curve Fitting, Goodness of Fit</t>
  </si>
  <si>
    <t>Engineering Science</t>
  </si>
  <si>
    <t>Basic Dynamics</t>
  </si>
  <si>
    <t>Instant. Velocity and Acceleration</t>
  </si>
  <si>
    <t>Normal and Tangential Acceleration</t>
  </si>
  <si>
    <t>Constant Acceleration</t>
  </si>
  <si>
    <t>Work, Energy, and Power</t>
  </si>
  <si>
    <t>Electricity, Current, and Voltage Laws</t>
  </si>
  <si>
    <t>Resistance in Series</t>
  </si>
  <si>
    <t>Material Science</t>
  </si>
  <si>
    <t>Chemical</t>
  </si>
  <si>
    <t>Material Types</t>
  </si>
  <si>
    <t>Ferrous</t>
  </si>
  <si>
    <t>Non-Ferrous</t>
  </si>
  <si>
    <t>EMF Series</t>
  </si>
  <si>
    <t>Galvanic Series</t>
  </si>
  <si>
    <t>Chemistry and Biology</t>
  </si>
  <si>
    <t>Inorganic Chemistry</t>
  </si>
  <si>
    <t>Molarity</t>
  </si>
  <si>
    <t>Normality</t>
  </si>
  <si>
    <t>Molality</t>
  </si>
  <si>
    <t>Redox Reactions</t>
  </si>
  <si>
    <t>Valence</t>
  </si>
  <si>
    <t>Solubility Product</t>
  </si>
  <si>
    <t>pK</t>
  </si>
  <si>
    <t>Electrochemistry</t>
  </si>
  <si>
    <t>Periodic Table</t>
  </si>
  <si>
    <t>Organic Chemistry</t>
  </si>
  <si>
    <t>Nomenclature</t>
  </si>
  <si>
    <t>Structure</t>
  </si>
  <si>
    <t>Balanced Equation</t>
  </si>
  <si>
    <t>Reaction</t>
  </si>
  <si>
    <t>Synthesis</t>
  </si>
  <si>
    <t>Analytical Chemistry</t>
  </si>
  <si>
    <t>Wet Chemistry</t>
  </si>
  <si>
    <t>Instrumental Chemistry</t>
  </si>
  <si>
    <t>Biochemistry, Microbiology, and Molecular Biology</t>
  </si>
  <si>
    <t>Organization and Function of a Cell</t>
  </si>
  <si>
    <t>Krebs, Glycolysis, Calvin Cycles</t>
  </si>
  <si>
    <t>Enzymes and Protein Chemistry</t>
  </si>
  <si>
    <t>Genetics</t>
  </si>
  <si>
    <t>Protein Synthesis</t>
  </si>
  <si>
    <t>Translation</t>
  </si>
  <si>
    <t>Transcription</t>
  </si>
  <si>
    <t>Bioprocessing</t>
  </si>
  <si>
    <t>Fermentation</t>
  </si>
  <si>
    <t>Biological Treatment Systems</t>
  </si>
  <si>
    <t>Aerobic Processes</t>
  </si>
  <si>
    <t>Anaerobic Processes</t>
  </si>
  <si>
    <t>Nutrient Removal</t>
  </si>
  <si>
    <t>Newton’s Law of Viscosity</t>
  </si>
  <si>
    <t>Mechanical Energy Balance</t>
  </si>
  <si>
    <t>Losses in Pipes</t>
  </si>
  <si>
    <t>Packed Beds</t>
  </si>
  <si>
    <t>Pipes Connected in Series</t>
  </si>
  <si>
    <t>Pipes Connected in Parallel</t>
  </si>
  <si>
    <t>Friction Factor</t>
  </si>
  <si>
    <t>Bernoulli Equation</t>
  </si>
  <si>
    <t>Pumps, Turbines, Compressors, and Vacuum Systems</t>
  </si>
  <si>
    <t>Compressible Flow and Non-Newtonian Fluids</t>
  </si>
  <si>
    <t xml:space="preserve">Properties of Ideal Gases and Pure Substances </t>
  </si>
  <si>
    <t>Properties of Pure Substances</t>
  </si>
  <si>
    <t>Properties of Steam</t>
  </si>
  <si>
    <t>Property and Phase Diagrams</t>
  </si>
  <si>
    <t>P-v Diagram</t>
  </si>
  <si>
    <t>T-s Diagram</t>
  </si>
  <si>
    <t>P-h Diagram</t>
  </si>
  <si>
    <t>Elements of Psychrometric Chart</t>
  </si>
  <si>
    <t>Reading a Psychrometric Chart</t>
  </si>
  <si>
    <t>Laws of Thermodynamics</t>
  </si>
  <si>
    <t>Introduction to Thermodynamic Laws</t>
  </si>
  <si>
    <t>Zeroth Law of Thermodynamics</t>
  </si>
  <si>
    <t>Third Law of Thermodynamics</t>
  </si>
  <si>
    <t>Processes</t>
  </si>
  <si>
    <t>Isochoric Process- Constant Volume</t>
  </si>
  <si>
    <t>Isobaric Process-Constant Pressure</t>
  </si>
  <si>
    <t>Cyclic Processes and Efficiencies</t>
  </si>
  <si>
    <t>Introduction to Power Cycles</t>
  </si>
  <si>
    <t>Phase Equilibrium</t>
  </si>
  <si>
    <t xml:space="preserve">Nonreacting Mixtures of Gases </t>
  </si>
  <si>
    <t>Fugacity</t>
  </si>
  <si>
    <t>Activity Coefficient</t>
  </si>
  <si>
    <t>Raoults Law</t>
  </si>
  <si>
    <t>Chemical Equilibrium</t>
  </si>
  <si>
    <t>Le Chateliers Principle</t>
  </si>
  <si>
    <t>Heats of Reaction and Mixing</t>
  </si>
  <si>
    <t>Combustion of Hydrocarbon in Pure Oxygen</t>
  </si>
  <si>
    <t>Stoichiometric Air Fuel Ratio</t>
  </si>
  <si>
    <t>Enthalpy of Formation</t>
  </si>
  <si>
    <t>Material/Energy Balance</t>
  </si>
  <si>
    <t>Steady-State Mass Balance</t>
  </si>
  <si>
    <t>Unsteady-State Mass Balance</t>
  </si>
  <si>
    <t>Steady-State Energy Balance</t>
  </si>
  <si>
    <t>Unsteady-State Energy Balance</t>
  </si>
  <si>
    <t>Recycle/Bypass Processes</t>
  </si>
  <si>
    <t>Reactive Systems</t>
  </si>
  <si>
    <t>Fourier’s Law of Heat Conduction</t>
  </si>
  <si>
    <t>Critical Radius of Insulation</t>
  </si>
  <si>
    <t>Heat Generation in Solids</t>
  </si>
  <si>
    <t>Stefan-Boltzmann’s Law</t>
  </si>
  <si>
    <t>Heat Transfer Coefficients</t>
  </si>
  <si>
    <t>Mass Transfer and Separation</t>
  </si>
  <si>
    <t>Molecular Diffusion</t>
  </si>
  <si>
    <t>Steady and Unsteady State</t>
  </si>
  <si>
    <t>Physical Property Estimation</t>
  </si>
  <si>
    <t>Convective Mass Transfer</t>
  </si>
  <si>
    <t>Mass Transfer Coefficient</t>
  </si>
  <si>
    <t>Eddy Diffusion</t>
  </si>
  <si>
    <t>Separation Systems</t>
  </si>
  <si>
    <t>Distillation</t>
  </si>
  <si>
    <t>Absorption</t>
  </si>
  <si>
    <t>Extraction</t>
  </si>
  <si>
    <t>Membrane Process</t>
  </si>
  <si>
    <t>Adsorption</t>
  </si>
  <si>
    <t>Equilibrium Stage Methods</t>
  </si>
  <si>
    <t>Graphical Methods</t>
  </si>
  <si>
    <t>McCabe-Thiele</t>
  </si>
  <si>
    <t>Continuous Contact Methods</t>
  </si>
  <si>
    <t>Number of Transfer Units</t>
  </si>
  <si>
    <t>Height Equivalent to a Theoretical Plate</t>
  </si>
  <si>
    <t>Height of Transfer Unit</t>
  </si>
  <si>
    <t>Number of Theoretical Plates</t>
  </si>
  <si>
    <t>Humidification, Drying, and Evaporation</t>
  </si>
  <si>
    <t>Humidification, Drying and Evaporation</t>
  </si>
  <si>
    <t>Solids Handling</t>
  </si>
  <si>
    <t>Particle Properties</t>
  </si>
  <si>
    <t>Surface and Bulk Forces</t>
  </si>
  <si>
    <t>Particle Size Distribution</t>
  </si>
  <si>
    <t>Processing</t>
  </si>
  <si>
    <t>Crushing</t>
  </si>
  <si>
    <t>Grinding</t>
  </si>
  <si>
    <t>Crystallization</t>
  </si>
  <si>
    <t>Transportation and Storage</t>
  </si>
  <si>
    <t>Belts</t>
  </si>
  <si>
    <t>Pneumatic</t>
  </si>
  <si>
    <t>Slurries</t>
  </si>
  <si>
    <t>Tanks</t>
  </si>
  <si>
    <t>Hoppers</t>
  </si>
  <si>
    <t>Chemical Reaction and Engineering</t>
  </si>
  <si>
    <t>Reaction Rates and Order</t>
  </si>
  <si>
    <t>Reaction Rate</t>
  </si>
  <si>
    <t>Reaction Order</t>
  </si>
  <si>
    <t>Rate Constant</t>
  </si>
  <si>
    <t>Arrhenius Function</t>
  </si>
  <si>
    <t>Conversion, Yield, and Selectivity</t>
  </si>
  <si>
    <t>Conversion</t>
  </si>
  <si>
    <t>Yield</t>
  </si>
  <si>
    <t>Selectivity</t>
  </si>
  <si>
    <t>Type of Reactions</t>
  </si>
  <si>
    <t>Series</t>
  </si>
  <si>
    <t>X</t>
  </si>
  <si>
    <t>Parallel</t>
  </si>
  <si>
    <t>Forward</t>
  </si>
  <si>
    <t>Reverse</t>
  </si>
  <si>
    <t>Homogeneous</t>
  </si>
  <si>
    <t>Nonhomogeneous</t>
  </si>
  <si>
    <t>Biological</t>
  </si>
  <si>
    <t>Reactor Types</t>
  </si>
  <si>
    <t>Batch</t>
  </si>
  <si>
    <t>Semibatch</t>
  </si>
  <si>
    <t>Continuous Stirred Tank</t>
  </si>
  <si>
    <t>Plug Flow</t>
  </si>
  <si>
    <t>Gas Phase</t>
  </si>
  <si>
    <t>Liquid Phase</t>
  </si>
  <si>
    <t>Catalysis</t>
  </si>
  <si>
    <t>Catalysis Mechanism</t>
  </si>
  <si>
    <t>Biocatalysis</t>
  </si>
  <si>
    <t>Physical Properties</t>
  </si>
  <si>
    <t>Comparison of Projects with Unequal Lives</t>
  </si>
  <si>
    <t>Process Design</t>
  </si>
  <si>
    <t>PFD and P&amp;ID</t>
  </si>
  <si>
    <t>PFD</t>
  </si>
  <si>
    <t>P &amp; ID</t>
  </si>
  <si>
    <t>Equipment Selection</t>
  </si>
  <si>
    <t>Sizing of Equipment</t>
  </si>
  <si>
    <t>Scale-up of Equipment</t>
  </si>
  <si>
    <t>Equipment and Facilities Cost Estimation</t>
  </si>
  <si>
    <t>Cost Indices</t>
  </si>
  <si>
    <t>Equipment Costing</t>
  </si>
  <si>
    <t>Process Design and Optimization</t>
  </si>
  <si>
    <t>Green Engineering</t>
  </si>
  <si>
    <t>Inherently Safer Design</t>
  </si>
  <si>
    <t>Evaluation of Specifications</t>
  </si>
  <si>
    <t>Product Design</t>
  </si>
  <si>
    <t>Design Standards</t>
  </si>
  <si>
    <t>Regulatory</t>
  </si>
  <si>
    <t>ASTM</t>
  </si>
  <si>
    <t>ISO</t>
  </si>
  <si>
    <t>OSHA</t>
  </si>
  <si>
    <t>Process Control</t>
  </si>
  <si>
    <t>Gains and Time Constants</t>
  </si>
  <si>
    <t>Stability</t>
  </si>
  <si>
    <t>Damping</t>
  </si>
  <si>
    <t>Transfer Function</t>
  </si>
  <si>
    <t>Control Strategies</t>
  </si>
  <si>
    <t>Feedback</t>
  </si>
  <si>
    <t>Feedforward</t>
  </si>
  <si>
    <t>Cascade</t>
  </si>
  <si>
    <t>Ratio</t>
  </si>
  <si>
    <t>PID Controller Tuning</t>
  </si>
  <si>
    <t>Alarms</t>
  </si>
  <si>
    <t>Other Safety Equipment</t>
  </si>
  <si>
    <t>Control Loop Design and Hardware</t>
  </si>
  <si>
    <t>Matching Variables</t>
  </si>
  <si>
    <t>Sensors</t>
  </si>
  <si>
    <t>Control Valves</t>
  </si>
  <si>
    <t>Conceptual Process Control</t>
  </si>
  <si>
    <t>DCS Programming</t>
  </si>
  <si>
    <t>PLC Programming</t>
  </si>
  <si>
    <t>Interlocks</t>
  </si>
  <si>
    <t>Hazardous Properties of Materials, including SDS</t>
  </si>
  <si>
    <t>Corrosivity</t>
  </si>
  <si>
    <t>Flammability</t>
  </si>
  <si>
    <t>Toxicity</t>
  </si>
  <si>
    <t>Reactivity</t>
  </si>
  <si>
    <t>Handling</t>
  </si>
  <si>
    <t>Storage</t>
  </si>
  <si>
    <t>Transportation</t>
  </si>
  <si>
    <t>Process Safety, Risk Assessment, and Hazard analysis</t>
  </si>
  <si>
    <t>Layer of Protection Analysis</t>
  </si>
  <si>
    <t>HAZOP Studies</t>
  </si>
  <si>
    <t>Fault and Event Tree Analysis</t>
  </si>
  <si>
    <t>Dispersion Modeling</t>
  </si>
  <si>
    <t>Overpressure and Under pressure Protection</t>
  </si>
  <si>
    <t>Relief</t>
  </si>
  <si>
    <t>Redundant Control</t>
  </si>
  <si>
    <t>Inherently Safe</t>
  </si>
  <si>
    <t>Waste Minimization, Waste Treatment, and Regulation</t>
  </si>
  <si>
    <t>Air</t>
  </si>
  <si>
    <t>Water</t>
  </si>
  <si>
    <t>Solids</t>
  </si>
  <si>
    <t>RCRA</t>
  </si>
  <si>
    <t>CWA</t>
  </si>
  <si>
    <t>Other EPA</t>
  </si>
  <si>
    <t>Reactivity Hazards</t>
  </si>
  <si>
    <t>Inerting</t>
  </si>
  <si>
    <t>Runaway Reactions</t>
  </si>
  <si>
    <t>Compatibility</t>
  </si>
  <si>
    <t>ENGG.tv Contents Summary (As on May 1, 2023)</t>
  </si>
  <si>
    <t>Engineering Sciences</t>
  </si>
  <si>
    <t>Fluid Mechanics/Dynamics</t>
  </si>
  <si>
    <t>Area and Volumes</t>
  </si>
  <si>
    <t>Progressions</t>
  </si>
  <si>
    <t>Zeroth Law</t>
  </si>
  <si>
    <t>First Law</t>
  </si>
  <si>
    <t>Second Law</t>
  </si>
  <si>
    <t>Third Law</t>
  </si>
  <si>
    <t>Isochoric Processes</t>
  </si>
  <si>
    <t>Isobaric Processes</t>
  </si>
  <si>
    <t>Adiabatic Processes</t>
  </si>
  <si>
    <t>Polytropic Processes</t>
  </si>
  <si>
    <t>Surface Tension/Capillarity</t>
  </si>
  <si>
    <t>Pressure Measurement</t>
  </si>
  <si>
    <t>Electricity and Electrical Circuits</t>
  </si>
  <si>
    <t>Codes of Ethics and Licensure</t>
  </si>
  <si>
    <t>Agreements and Contracts</t>
  </si>
  <si>
    <t>Public Protection and Regulatory Issues</t>
  </si>
  <si>
    <t>Evaluation of Alternatives</t>
  </si>
  <si>
    <t>Equivalent Annual Cost</t>
  </si>
  <si>
    <t>Depreciation and Taxes</t>
  </si>
  <si>
    <t>After-Tax Cash Flow</t>
  </si>
  <si>
    <t>Recapture</t>
  </si>
  <si>
    <t>Design of Experiments</t>
  </si>
  <si>
    <t>ANOVA</t>
  </si>
  <si>
    <t>Factorial Designs</t>
  </si>
  <si>
    <t>Modeling and Quantitative Analysis</t>
  </si>
  <si>
    <t>Data, Logic Development, and Analytics</t>
  </si>
  <si>
    <t>Database</t>
  </si>
  <si>
    <t>Data Science Techniques</t>
  </si>
  <si>
    <t>Linear Programming and Optimization</t>
  </si>
  <si>
    <t>Formulation</t>
  </si>
  <si>
    <t>Solution</t>
  </si>
  <si>
    <t>Interpretation</t>
  </si>
  <si>
    <t>Stochastic Models and Simulation</t>
  </si>
  <si>
    <t>Queuing</t>
  </si>
  <si>
    <t>Markov Processes</t>
  </si>
  <si>
    <t>Inverse Probability Functions</t>
  </si>
  <si>
    <t>Engineering Management</t>
  </si>
  <si>
    <t>Principles and Tools</t>
  </si>
  <si>
    <t>Planning</t>
  </si>
  <si>
    <t>Organizing</t>
  </si>
  <si>
    <t>Motivational Theory</t>
  </si>
  <si>
    <t>Organizational Structure</t>
  </si>
  <si>
    <t>Project Management</t>
  </si>
  <si>
    <t>WBS</t>
  </si>
  <si>
    <t>PERT</t>
  </si>
  <si>
    <t>CPM</t>
  </si>
  <si>
    <t>Agile</t>
  </si>
  <si>
    <t>Performance Measurement</t>
  </si>
  <si>
    <t>KPI</t>
  </si>
  <si>
    <t>Productivity</t>
  </si>
  <si>
    <t>Wage Scales</t>
  </si>
  <si>
    <t>Balance Scorecard</t>
  </si>
  <si>
    <t>Customer Satisfaction</t>
  </si>
  <si>
    <t>Decision Making and Risk</t>
  </si>
  <si>
    <t>Utility</t>
  </si>
  <si>
    <t>Financial Risk</t>
  </si>
  <si>
    <t>Manufacturing, Service, and Other Production Systems</t>
  </si>
  <si>
    <t>Classification of Manufacturing Systems</t>
  </si>
  <si>
    <t>Non-Traditional Machining</t>
  </si>
  <si>
    <t>Manufacturing and Service Systems</t>
  </si>
  <si>
    <t>Throughput</t>
  </si>
  <si>
    <t>Measurement</t>
  </si>
  <si>
    <t>Automation</t>
  </si>
  <si>
    <t>Line Balancing</t>
  </si>
  <si>
    <t>Energy Management</t>
  </si>
  <si>
    <t>Forecasting</t>
  </si>
  <si>
    <t>Moving Average</t>
  </si>
  <si>
    <t>Exponential Smoothening</t>
  </si>
  <si>
    <t>Tracking Signals</t>
  </si>
  <si>
    <t>Planning and Scheduling</t>
  </si>
  <si>
    <t>Inventory</t>
  </si>
  <si>
    <t>Aggregate Planning</t>
  </si>
  <si>
    <t>MRP</t>
  </si>
  <si>
    <t>Theory of Constraints</t>
  </si>
  <si>
    <t>Sequencing</t>
  </si>
  <si>
    <t>Process Improvements</t>
  </si>
  <si>
    <t>Lean Systems</t>
  </si>
  <si>
    <t>Value Engineering</t>
  </si>
  <si>
    <t>Facilities and Supply Chain</t>
  </si>
  <si>
    <t>Flow, Layout, and Location Analysis</t>
  </si>
  <si>
    <t>From/To Charts</t>
  </si>
  <si>
    <t>Layout Types</t>
  </si>
  <si>
    <t>Distance Metrics</t>
  </si>
  <si>
    <t>Capacity Analysis</t>
  </si>
  <si>
    <t>Capacity Planning</t>
  </si>
  <si>
    <t>Machines and People</t>
  </si>
  <si>
    <t>Trade-Offs</t>
  </si>
  <si>
    <t>Material Handling</t>
  </si>
  <si>
    <t>Supply Chain Management and Design</t>
  </si>
  <si>
    <t>Pooling</t>
  </si>
  <si>
    <t>Network Design</t>
  </si>
  <si>
    <t>Single-level-Multilevel Distribution Models</t>
  </si>
  <si>
    <t>Human Factors, Ergonomics, and Safety</t>
  </si>
  <si>
    <t>Human Factors</t>
  </si>
  <si>
    <t>Displays</t>
  </si>
  <si>
    <t>Controls</t>
  </si>
  <si>
    <t>Usability</t>
  </si>
  <si>
    <t>Cognitive Engineering</t>
  </si>
  <si>
    <t>Safety and Industrial Hygiene</t>
  </si>
  <si>
    <t>Workplace Hazards</t>
  </si>
  <si>
    <t>Safety Programs</t>
  </si>
  <si>
    <t>Regulations</t>
  </si>
  <si>
    <t>Environmental Hazards</t>
  </si>
  <si>
    <t>Ergonomics</t>
  </si>
  <si>
    <t>Biomechanics</t>
  </si>
  <si>
    <t>Cumulative Trauma Disorders</t>
  </si>
  <si>
    <t>Anthropometry</t>
  </si>
  <si>
    <t>Workplace Design</t>
  </si>
  <si>
    <t>Macroergonomics</t>
  </si>
  <si>
    <t>Work Design</t>
  </si>
  <si>
    <t>Methods Analysis</t>
  </si>
  <si>
    <t>Charting</t>
  </si>
  <si>
    <t>Workstation Design</t>
  </si>
  <si>
    <t>Motion Economy</t>
  </si>
  <si>
    <t>Work Measurement</t>
  </si>
  <si>
    <t>Time Study</t>
  </si>
  <si>
    <t>Predetermined Time Systems</t>
  </si>
  <si>
    <t>Work Sampling</t>
  </si>
  <si>
    <t>Standards</t>
  </si>
  <si>
    <t>Learning Curves</t>
  </si>
  <si>
    <t>Quality</t>
  </si>
  <si>
    <t>Quality Management, Planning, Assurance, and Systems</t>
  </si>
  <si>
    <t>Six Sigma</t>
  </si>
  <si>
    <t>QFD</t>
  </si>
  <si>
    <t>TQM</t>
  </si>
  <si>
    <t>House of Quality</t>
  </si>
  <si>
    <t>Fishbone</t>
  </si>
  <si>
    <t>Taguchi Loss Function</t>
  </si>
  <si>
    <t>Quality Control</t>
  </si>
  <si>
    <t>Control Charts</t>
  </si>
  <si>
    <t>Process Capability</t>
  </si>
  <si>
    <t>Sampling Plans</t>
  </si>
  <si>
    <t>OC Curves</t>
  </si>
  <si>
    <t>DOE</t>
  </si>
  <si>
    <t>Systems Engineering, Analysis, and Design</t>
  </si>
  <si>
    <t>Requirements Analysis and System Design</t>
  </si>
  <si>
    <t>Requirement Analysis</t>
  </si>
  <si>
    <t>Functional Analysis and Configuration Management</t>
  </si>
  <si>
    <t>Functional Analysis</t>
  </si>
  <si>
    <t>Risk Management</t>
  </si>
  <si>
    <t>FMEA</t>
  </si>
  <si>
    <t>Fault Trees</t>
  </si>
  <si>
    <t>Life-Cycle Engineering</t>
  </si>
  <si>
    <t>Reliability Engineering</t>
  </si>
  <si>
    <t>MTTF</t>
  </si>
  <si>
    <t>MTBR</t>
  </si>
  <si>
    <t>Availability</t>
  </si>
  <si>
    <t>ENGG.tv Contents Summary (As on July 27, 2023)</t>
  </si>
  <si>
    <t>Manufacturing, Service, Other Prod. Systems</t>
  </si>
  <si>
    <t>Analytic Geometry and Trigonometry</t>
  </si>
  <si>
    <t>Expected Value of a Discrete Function</t>
  </si>
  <si>
    <t>Compliance with Codes, Standards and Regulations</t>
  </si>
  <si>
    <t>CAA</t>
  </si>
  <si>
    <t>CERCLA</t>
  </si>
  <si>
    <t>SDWA</t>
  </si>
  <si>
    <t>NEPA</t>
  </si>
  <si>
    <t>Resiliency</t>
  </si>
  <si>
    <t>Long-Term Viability</t>
  </si>
  <si>
    <t>Fundamental Principles</t>
  </si>
  <si>
    <t>Population Projections and Demand Calculations</t>
  </si>
  <si>
    <t>Demand Calculations</t>
  </si>
  <si>
    <t>Reactors</t>
  </si>
  <si>
    <t>Semi-Batch</t>
  </si>
  <si>
    <t>Mechanical Properties</t>
  </si>
  <si>
    <t>Electrical Properties</t>
  </si>
  <si>
    <t>Thermal Properties</t>
  </si>
  <si>
    <t>Chemical Properties</t>
  </si>
  <si>
    <t>Stress</t>
  </si>
  <si>
    <t>Strain</t>
  </si>
  <si>
    <t>Environmental Chemistry</t>
  </si>
  <si>
    <t>Stoichiometry and Chemical Reactions</t>
  </si>
  <si>
    <t>Acid-Base</t>
  </si>
  <si>
    <t>Oxidation-Reduction</t>
  </si>
  <si>
    <t>Precipitation</t>
  </si>
  <si>
    <t>Kinetics</t>
  </si>
  <si>
    <t>Chemical Conversion</t>
  </si>
  <si>
    <t>Growth and Decay</t>
  </si>
  <si>
    <t>Reactions</t>
  </si>
  <si>
    <t>Multimedia Equilibrium Partitioning</t>
  </si>
  <si>
    <t>Henry’s Law</t>
  </si>
  <si>
    <t>Octanol Partitioning Coefficient</t>
  </si>
  <si>
    <t>Health Hazards and Risk Assessment</t>
  </si>
  <si>
    <t>Dose-response Toxicity</t>
  </si>
  <si>
    <t>Non-Carcinogens</t>
  </si>
  <si>
    <t>Exposure Routes and Pathways</t>
  </si>
  <si>
    <t>Occupational Health</t>
  </si>
  <si>
    <t>PPE</t>
  </si>
  <si>
    <t>Noise Pollution</t>
  </si>
  <si>
    <t>Safety Screening</t>
  </si>
  <si>
    <t>Fluid Mechanics and Hydraulics</t>
  </si>
  <si>
    <t>Pascal’s law</t>
  </si>
  <si>
    <t>Hydrostatic Forces on Submerged Surface</t>
  </si>
  <si>
    <t>Archimedes Principle and Bouyancy</t>
  </si>
  <si>
    <t>Closed Conduits</t>
  </si>
  <si>
    <t>Reynolds Number</t>
  </si>
  <si>
    <t>Open Channel</t>
  </si>
  <si>
    <t>Fluid Dynamics</t>
  </si>
  <si>
    <t>Steady and Unsteady Flow</t>
  </si>
  <si>
    <t>Energy, Heat, and Work</t>
  </si>
  <si>
    <t>Isobaric Process- Constant Pressure</t>
  </si>
  <si>
    <t>Efficiency in Cyclic Process</t>
  </si>
  <si>
    <t>Power Cycles</t>
  </si>
  <si>
    <t>Ranking Cycle</t>
  </si>
  <si>
    <t>Net Energy Exchange</t>
  </si>
  <si>
    <t>Behavior of Ideal Gases</t>
  </si>
  <si>
    <t>Surface Water Resources and Hydrology</t>
  </si>
  <si>
    <t>Runoff Calculations</t>
  </si>
  <si>
    <t>Land Use</t>
  </si>
  <si>
    <t>Land Cover</t>
  </si>
  <si>
    <t>Time of Concentration</t>
  </si>
  <si>
    <t>Duration</t>
  </si>
  <si>
    <t>Intensity</t>
  </si>
  <si>
    <t>Runoff Control</t>
  </si>
  <si>
    <t>Runoff Management</t>
  </si>
  <si>
    <t>Water Storage Sizing</t>
  </si>
  <si>
    <t>Reservoir</t>
  </si>
  <si>
    <t>Retention Basins</t>
  </si>
  <si>
    <t>Routing</t>
  </si>
  <si>
    <t>Channel</t>
  </si>
  <si>
    <t>Reservoir Routing</t>
  </si>
  <si>
    <t>Water Quality and Modeling</t>
  </si>
  <si>
    <t>Erosion</t>
  </si>
  <si>
    <t>Channel Stability</t>
  </si>
  <si>
    <t>Wetlands</t>
  </si>
  <si>
    <t>Streeter-Phelps</t>
  </si>
  <si>
    <t>Eutrophication</t>
  </si>
  <si>
    <t>Water Budget</t>
  </si>
  <si>
    <t>Evapotraspiration</t>
  </si>
  <si>
    <t>Soil Moisture</t>
  </si>
  <si>
    <t>Groundwater, Soils, and Sediments</t>
  </si>
  <si>
    <t>Basic Hydrogeology</t>
  </si>
  <si>
    <t>Aquifer Properties</t>
  </si>
  <si>
    <t>Soil Characteristics</t>
  </si>
  <si>
    <t>Subsurface</t>
  </si>
  <si>
    <t>Groundwater Flow</t>
  </si>
  <si>
    <t>Specific Capacity</t>
  </si>
  <si>
    <t>Velocity</t>
  </si>
  <si>
    <t>Gradient</t>
  </si>
  <si>
    <t>Transport Mechanism</t>
  </si>
  <si>
    <t>Drawdown</t>
  </si>
  <si>
    <t>Dupuit</t>
  </si>
  <si>
    <t>Jacob</t>
  </si>
  <si>
    <t>Theis</t>
  </si>
  <si>
    <t>Thiem</t>
  </si>
  <si>
    <t>Remediation of Soil, Sediment, and/or Groundwater</t>
  </si>
  <si>
    <t>Recovery</t>
  </si>
  <si>
    <t>Ex-Situ-In-Situ Treatment</t>
  </si>
  <si>
    <t>Water and Wastewater</t>
  </si>
  <si>
    <t>Water and Wastewater Characteristics</t>
  </si>
  <si>
    <t>Physical Characteristics</t>
  </si>
  <si>
    <t>Chemical Characteristics</t>
  </si>
  <si>
    <t>Biological Characteristics</t>
  </si>
  <si>
    <t>Nutrients</t>
  </si>
  <si>
    <t>Mass Balance and Loading Rates</t>
  </si>
  <si>
    <t>Removal Efficiencies</t>
  </si>
  <si>
    <t>Physical Processes</t>
  </si>
  <si>
    <t>Sedimentation and Clarification</t>
  </si>
  <si>
    <t>Filtration</t>
  </si>
  <si>
    <t>Membrane</t>
  </si>
  <si>
    <t>Flocculation</t>
  </si>
  <si>
    <t>Headworks</t>
  </si>
  <si>
    <t>Flow Equalization</t>
  </si>
  <si>
    <t>Air Stripping</t>
  </si>
  <si>
    <t>Activated Carbon</t>
  </si>
  <si>
    <t>Chemical Processes</t>
  </si>
  <si>
    <t>Disinfection</t>
  </si>
  <si>
    <t>Ion Exchange</t>
  </si>
  <si>
    <t>Coagulation</t>
  </si>
  <si>
    <t>Activated Sludge</t>
  </si>
  <si>
    <t>Fixed Film</t>
  </si>
  <si>
    <t>Lagoons</t>
  </si>
  <si>
    <t>Phytoremediation</t>
  </si>
  <si>
    <t>Aerobic</t>
  </si>
  <si>
    <t>Anaerobic</t>
  </si>
  <si>
    <t>Anoxic</t>
  </si>
  <si>
    <t>Sludge Treatment and Handling</t>
  </si>
  <si>
    <t>Land Application</t>
  </si>
  <si>
    <t>Digestion</t>
  </si>
  <si>
    <t>Sludge Dewatering</t>
  </si>
  <si>
    <t>Composting</t>
  </si>
  <si>
    <t>Water Conservation and Reuse</t>
  </si>
  <si>
    <t>Air Quality and Control</t>
  </si>
  <si>
    <t>Ambient and Indoor Air Quality</t>
  </si>
  <si>
    <t>Air Quality Criteria</t>
  </si>
  <si>
    <t>Toxic and Hazardous Air Pollutants</t>
  </si>
  <si>
    <t>Mass and Energy Balances</t>
  </si>
  <si>
    <t>STP Basis</t>
  </si>
  <si>
    <t>Loading Rates</t>
  </si>
  <si>
    <t>Heating Values</t>
  </si>
  <si>
    <t>Emissions</t>
  </si>
  <si>
    <t>Emission Factors</t>
  </si>
  <si>
    <t>Emission Rates</t>
  </si>
  <si>
    <t>Atmospheric Modeling and Meteorology</t>
  </si>
  <si>
    <t>Stability Classes</t>
  </si>
  <si>
    <t>Lapse Rates</t>
  </si>
  <si>
    <t>Gas Treatment Technologies</t>
  </si>
  <si>
    <t>Biofiltration</t>
  </si>
  <si>
    <t>Scrubbers</t>
  </si>
  <si>
    <t>Adsorbers</t>
  </si>
  <si>
    <t>Incineration</t>
  </si>
  <si>
    <t>Catalytic Reducers</t>
  </si>
  <si>
    <t>Particle Treatment Technologies</t>
  </si>
  <si>
    <t>Baghouses</t>
  </si>
  <si>
    <t>Cyclones</t>
  </si>
  <si>
    <t>Electrostatic Precipitators</t>
  </si>
  <si>
    <t>Indoor Air Quality Modeling and Controls</t>
  </si>
  <si>
    <t>Air Exchanges</t>
  </si>
  <si>
    <t>Steady-State Reactor Model</t>
  </si>
  <si>
    <t>Unsteady-State Reactor Model</t>
  </si>
  <si>
    <t>Solid and Hazardous Waste</t>
  </si>
  <si>
    <t>Mass Balances</t>
  </si>
  <si>
    <t>Energy Balances</t>
  </si>
  <si>
    <t>Solid Waste Management</t>
  </si>
  <si>
    <t>Collection of Solid Waste</t>
  </si>
  <si>
    <t>Transportation of Solid Waste</t>
  </si>
  <si>
    <t>Storage of Solid Waste</t>
  </si>
  <si>
    <t>Composting of Solid Waste</t>
  </si>
  <si>
    <t>Recycling of Solid Waste</t>
  </si>
  <si>
    <t>Waste to Energy</t>
  </si>
  <si>
    <t>Solid Waste Disposal</t>
  </si>
  <si>
    <t>Landfills</t>
  </si>
  <si>
    <t>Leachate</t>
  </si>
  <si>
    <t>Gas Collection</t>
  </si>
  <si>
    <t>Hazardous Waste Compatibility</t>
  </si>
  <si>
    <t>Site Characterization</t>
  </si>
  <si>
    <t>Monitoring</t>
  </si>
  <si>
    <t>Remedial Investigation</t>
  </si>
  <si>
    <t>Hazardous and Radioactive Waste Treatment and Disposal</t>
  </si>
  <si>
    <t>Physical Disposal</t>
  </si>
  <si>
    <t>Chemical Disposal</t>
  </si>
  <si>
    <t>Thermal Disposal</t>
  </si>
  <si>
    <t>Biological Disposal</t>
  </si>
  <si>
    <t>Energy and Environment</t>
  </si>
  <si>
    <t>Energy Sources Concepts</t>
  </si>
  <si>
    <t>Conventional Energy Sources</t>
  </si>
  <si>
    <t>Environmental Impact of Energy Sources and Production</t>
  </si>
  <si>
    <t>Greenhouse Gas Production</t>
  </si>
  <si>
    <t>Carbon Footprint</t>
  </si>
  <si>
    <t>Thermal Needs</t>
  </si>
  <si>
    <t>Water Needs</t>
  </si>
  <si>
    <t>ENGG.tv Contents Summary (As on Apr 30, 2023)</t>
  </si>
</sst>
</file>

<file path=xl/styles.xml><?xml version="1.0" encoding="utf-8"?>
<styleSheet xmlns="http://schemas.openxmlformats.org/spreadsheetml/2006/main">
  <numFmts count="1">
    <numFmt numFmtId="0" formatCode="General"/>
  </numFmts>
  <fonts count="22">
    <font>
      <sz val="10"/>
      <color indexed="8"/>
      <name val="Helvetica Neue"/>
    </font>
    <font>
      <sz val="12"/>
      <color indexed="8"/>
      <name val="Helvetica Neue"/>
    </font>
    <font>
      <b val="1"/>
      <sz val="19"/>
      <color indexed="8"/>
      <name val="Helvetica Neue"/>
    </font>
    <font>
      <b val="1"/>
      <sz val="10"/>
      <color indexed="8"/>
      <name val="Helvetica Neue"/>
    </font>
    <font>
      <b val="1"/>
      <sz val="18"/>
      <color indexed="8"/>
      <name val="Helvetica Neue"/>
    </font>
    <font>
      <sz val="14"/>
      <color indexed="8"/>
      <name val="Helvetica Neue"/>
    </font>
    <font>
      <sz val="13"/>
      <color indexed="8"/>
      <name val="Helvetica Neue"/>
    </font>
    <font>
      <sz val="10"/>
      <color indexed="31"/>
      <name val="Helvetica Neue"/>
    </font>
    <font>
      <b val="1"/>
      <sz val="15"/>
      <color indexed="8"/>
      <name val="Helvetica Neue"/>
    </font>
    <font>
      <b val="1"/>
      <sz val="18"/>
      <color indexed="36"/>
      <name val="Helvetica Neue"/>
    </font>
    <font>
      <sz val="14"/>
      <color indexed="36"/>
      <name val="Helvetica Neue"/>
    </font>
    <font>
      <sz val="10"/>
      <color indexed="36"/>
      <name val="Helvetica Neue"/>
    </font>
    <font>
      <sz val="10"/>
      <color indexed="39"/>
      <name val="Helvetica Neue"/>
    </font>
    <font>
      <sz val="8"/>
      <color indexed="8"/>
      <name val="Helvetica Neue"/>
    </font>
    <font>
      <sz val="11"/>
      <color indexed="8"/>
      <name val="Helvetica"/>
    </font>
    <font>
      <b val="1"/>
      <sz val="18"/>
      <color indexed="8"/>
      <name val="Helvetica"/>
    </font>
    <font>
      <sz val="13"/>
      <color indexed="8"/>
      <name val="Helvetica"/>
    </font>
    <font>
      <b val="1"/>
      <sz val="10"/>
      <color indexed="8"/>
      <name val="Helvetica"/>
    </font>
    <font>
      <b val="1"/>
      <sz val="12"/>
      <color indexed="8"/>
      <name val="Helvetica Neue"/>
    </font>
    <font>
      <b val="1"/>
      <sz val="18"/>
      <color indexed="45"/>
      <name val="Helvetica Neue"/>
    </font>
    <font>
      <sz val="13"/>
      <color indexed="45"/>
      <name val="Helvetica Neue"/>
    </font>
    <font>
      <sz val="10"/>
      <color indexed="45"/>
      <name val="Helvetica Neue"/>
    </font>
  </fonts>
  <fills count="4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40"/>
        <bgColor auto="1"/>
      </patternFill>
    </fill>
    <fill>
      <patternFill patternType="solid">
        <fgColor indexed="41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8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0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53"/>
        <bgColor auto="1"/>
      </patternFill>
    </fill>
    <fill>
      <patternFill patternType="solid">
        <fgColor indexed="54"/>
        <bgColor auto="1"/>
      </patternFill>
    </fill>
    <fill>
      <patternFill patternType="solid">
        <fgColor indexed="55"/>
        <bgColor auto="1"/>
      </patternFill>
    </fill>
    <fill>
      <patternFill patternType="solid">
        <fgColor indexed="56"/>
        <bgColor auto="1"/>
      </patternFill>
    </fill>
    <fill>
      <patternFill patternType="solid">
        <fgColor indexed="57"/>
        <bgColor auto="1"/>
      </patternFill>
    </fill>
    <fill>
      <patternFill patternType="solid">
        <fgColor indexed="58"/>
        <bgColor auto="1"/>
      </patternFill>
    </fill>
    <fill>
      <patternFill patternType="solid">
        <fgColor indexed="59"/>
        <bgColor auto="1"/>
      </patternFill>
    </fill>
    <fill>
      <patternFill patternType="solid">
        <fgColor indexed="60"/>
        <bgColor auto="1"/>
      </patternFill>
    </fill>
    <fill>
      <patternFill patternType="solid">
        <fgColor indexed="6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horizontal="center" vertical="top" wrapText="1"/>
    </xf>
    <xf numFmtId="49" fontId="3" fillId="3" borderId="2" applyNumberFormat="1" applyFont="1" applyFill="1" applyBorder="1" applyAlignment="1" applyProtection="0">
      <alignment horizontal="center" vertical="top" wrapText="1"/>
    </xf>
    <xf numFmtId="49" fontId="3" borderId="3" applyNumberFormat="1" applyFont="1" applyFill="0" applyBorder="1" applyAlignment="1" applyProtection="0">
      <alignment horizontal="center" vertical="top" wrapText="1"/>
    </xf>
    <xf numFmtId="49" fontId="3" borderId="4" applyNumberFormat="1" applyFont="1" applyFill="0" applyBorder="1" applyAlignment="1" applyProtection="0">
      <alignment horizontal="center" vertical="top" wrapText="1"/>
    </xf>
    <xf numFmtId="49" fontId="4" fillId="4" borderId="5" applyNumberFormat="1" applyFont="1" applyFill="1" applyBorder="1" applyAlignment="1" applyProtection="0">
      <alignment vertical="top" wrapText="1"/>
    </xf>
    <xf numFmtId="49" fontId="5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horizontal="center"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49" fontId="5" fillId="5" borderId="6" applyNumberFormat="1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0" fontId="0" fillId="5" borderId="7" applyNumberFormat="1" applyFont="1" applyFill="1" applyBorder="1" applyAlignment="1" applyProtection="0">
      <alignment horizontal="center" vertical="top" wrapText="1"/>
    </xf>
    <xf numFmtId="49" fontId="4" fillId="6" borderId="5" applyNumberFormat="1" applyFont="1" applyFill="1" applyBorder="1" applyAlignment="1" applyProtection="0">
      <alignment vertical="top" wrapText="1"/>
    </xf>
    <xf numFmtId="49" fontId="5" fillId="6" borderId="6" applyNumberFormat="1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0" fontId="0" fillId="6" borderId="7" applyNumberFormat="1" applyFont="1" applyFill="1" applyBorder="1" applyAlignment="1" applyProtection="0">
      <alignment horizontal="center" vertical="top" wrapText="1"/>
    </xf>
    <xf numFmtId="0" fontId="0" fillId="7" borderId="7" applyNumberFormat="1" applyFont="1" applyFill="1" applyBorder="1" applyAlignment="1" applyProtection="0">
      <alignment horizontal="center" vertical="top" wrapText="1"/>
    </xf>
    <xf numFmtId="49" fontId="0" fillId="8" borderId="7" applyNumberFormat="1" applyFont="1" applyFill="1" applyBorder="1" applyAlignment="1" applyProtection="0">
      <alignment vertical="top" wrapText="1"/>
    </xf>
    <xf numFmtId="0" fontId="0" fillId="8" borderId="7" applyNumberFormat="1" applyFont="1" applyFill="1" applyBorder="1" applyAlignment="1" applyProtection="0">
      <alignment horizontal="center" vertical="top" wrapText="1"/>
    </xf>
    <xf numFmtId="49" fontId="4" fillId="9" borderId="5" applyNumberFormat="1" applyFont="1" applyFill="1" applyBorder="1" applyAlignment="1" applyProtection="0">
      <alignment vertical="top" wrapText="1"/>
    </xf>
    <xf numFmtId="49" fontId="5" fillId="9" borderId="6" applyNumberFormat="1" applyFont="1" applyFill="1" applyBorder="1" applyAlignment="1" applyProtection="0">
      <alignment vertical="top" wrapText="1"/>
    </xf>
    <xf numFmtId="49" fontId="0" fillId="9" borderId="7" applyNumberFormat="1" applyFont="1" applyFill="1" applyBorder="1" applyAlignment="1" applyProtection="0">
      <alignment vertical="top" wrapText="1"/>
    </xf>
    <xf numFmtId="0" fontId="0" fillId="9" borderId="7" applyNumberFormat="1" applyFont="1" applyFill="1" applyBorder="1" applyAlignment="1" applyProtection="0">
      <alignment horizontal="center" vertical="top" wrapText="1"/>
    </xf>
    <xf numFmtId="49" fontId="4" fillId="10" borderId="5" applyNumberFormat="1" applyFont="1" applyFill="1" applyBorder="1" applyAlignment="1" applyProtection="0">
      <alignment vertical="top" wrapText="1"/>
    </xf>
    <xf numFmtId="49" fontId="5" fillId="10" borderId="6" applyNumberFormat="1" applyFont="1" applyFill="1" applyBorder="1" applyAlignment="1" applyProtection="0">
      <alignment vertical="top" wrapText="1"/>
    </xf>
    <xf numFmtId="49" fontId="0" fillId="10" borderId="7" applyNumberFormat="1" applyFont="1" applyFill="1" applyBorder="1" applyAlignment="1" applyProtection="0">
      <alignment vertical="top" wrapText="1"/>
    </xf>
    <xf numFmtId="0" fontId="0" fillId="10" borderId="7" applyNumberFormat="1" applyFont="1" applyFill="1" applyBorder="1" applyAlignment="1" applyProtection="0">
      <alignment horizontal="center" vertical="top" wrapText="1"/>
    </xf>
    <xf numFmtId="49" fontId="0" fillId="11" borderId="7" applyNumberFormat="1" applyFont="1" applyFill="1" applyBorder="1" applyAlignment="1" applyProtection="0">
      <alignment vertical="top" wrapText="1"/>
    </xf>
    <xf numFmtId="0" fontId="0" fillId="11" borderId="7" applyNumberFormat="1" applyFont="1" applyFill="1" applyBorder="1" applyAlignment="1" applyProtection="0">
      <alignment horizontal="center" vertical="top" wrapText="1"/>
    </xf>
    <xf numFmtId="49" fontId="4" fillId="12" borderId="5" applyNumberFormat="1" applyFont="1" applyFill="1" applyBorder="1" applyAlignment="1" applyProtection="0">
      <alignment vertical="top" wrapText="1"/>
    </xf>
    <xf numFmtId="49" fontId="5" fillId="12" borderId="6" applyNumberFormat="1" applyFont="1" applyFill="1" applyBorder="1" applyAlignment="1" applyProtection="0">
      <alignment vertical="top" wrapText="1"/>
    </xf>
    <xf numFmtId="49" fontId="0" fillId="12" borderId="7" applyNumberFormat="1" applyFont="1" applyFill="1" applyBorder="1" applyAlignment="1" applyProtection="0">
      <alignment vertical="top" wrapText="1"/>
    </xf>
    <xf numFmtId="0" fontId="0" fillId="12" borderId="7" applyNumberFormat="1" applyFont="1" applyFill="1" applyBorder="1" applyAlignment="1" applyProtection="0">
      <alignment horizontal="center" vertical="top" wrapText="1"/>
    </xf>
    <xf numFmtId="49" fontId="4" fillId="13" borderId="5" applyNumberFormat="1" applyFont="1" applyFill="1" applyBorder="1" applyAlignment="1" applyProtection="0">
      <alignment vertical="top" wrapText="1"/>
    </xf>
    <xf numFmtId="49" fontId="5" fillId="13" borderId="6" applyNumberFormat="1" applyFont="1" applyFill="1" applyBorder="1" applyAlignment="1" applyProtection="0">
      <alignment vertical="top" wrapText="1"/>
    </xf>
    <xf numFmtId="49" fontId="0" fillId="13" borderId="7" applyNumberFormat="1" applyFont="1" applyFill="1" applyBorder="1" applyAlignment="1" applyProtection="0">
      <alignment vertical="top" wrapText="1"/>
    </xf>
    <xf numFmtId="0" fontId="0" fillId="13" borderId="7" applyNumberFormat="1" applyFont="1" applyFill="1" applyBorder="1" applyAlignment="1" applyProtection="0">
      <alignment horizontal="center" vertical="top" wrapText="1"/>
    </xf>
    <xf numFmtId="49" fontId="4" fillId="14" borderId="5" applyNumberFormat="1" applyFont="1" applyFill="1" applyBorder="1" applyAlignment="1" applyProtection="0">
      <alignment vertical="top" wrapText="1"/>
    </xf>
    <xf numFmtId="49" fontId="6" fillId="14" borderId="6" applyNumberFormat="1" applyFont="1" applyFill="1" applyBorder="1" applyAlignment="1" applyProtection="0">
      <alignment horizontal="left" vertical="top" wrapText="1" readingOrder="1"/>
    </xf>
    <xf numFmtId="49" fontId="0" fillId="14" borderId="7" applyNumberFormat="1" applyFont="1" applyFill="1" applyBorder="1" applyAlignment="1" applyProtection="0">
      <alignment vertical="top" wrapText="1"/>
    </xf>
    <xf numFmtId="0" fontId="0" fillId="14" borderId="7" applyNumberFormat="1" applyFont="1" applyFill="1" applyBorder="1" applyAlignment="1" applyProtection="0">
      <alignment horizontal="center" vertical="top" wrapText="1"/>
    </xf>
    <xf numFmtId="49" fontId="0" fillId="15" borderId="7" applyNumberFormat="1" applyFont="1" applyFill="1" applyBorder="1" applyAlignment="1" applyProtection="0">
      <alignment vertical="top" wrapText="1"/>
    </xf>
    <xf numFmtId="49" fontId="0" fillId="14" borderId="7" applyNumberFormat="1" applyFont="1" applyFill="1" applyBorder="1" applyAlignment="1" applyProtection="0">
      <alignment horizontal="left" vertical="top" wrapText="1" readingOrder="1"/>
    </xf>
    <xf numFmtId="49" fontId="4" fillId="16" borderId="5" applyNumberFormat="1" applyFont="1" applyFill="1" applyBorder="1" applyAlignment="1" applyProtection="0">
      <alignment vertical="top" wrapText="1"/>
    </xf>
    <xf numFmtId="49" fontId="6" fillId="16" borderId="6" applyNumberFormat="1" applyFont="1" applyFill="1" applyBorder="1" applyAlignment="1" applyProtection="0">
      <alignment horizontal="left" vertical="top" wrapText="1" readingOrder="1"/>
    </xf>
    <xf numFmtId="49" fontId="0" fillId="16" borderId="7" applyNumberFormat="1" applyFont="1" applyFill="1" applyBorder="1" applyAlignment="1" applyProtection="0">
      <alignment vertical="top" wrapText="1"/>
    </xf>
    <xf numFmtId="0" fontId="0" fillId="16" borderId="7" applyNumberFormat="1" applyFont="1" applyFill="1" applyBorder="1" applyAlignment="1" applyProtection="0">
      <alignment horizontal="center" vertical="top" wrapText="1"/>
    </xf>
    <xf numFmtId="49" fontId="0" fillId="17" borderId="7" applyNumberFormat="1" applyFont="1" applyFill="1" applyBorder="1" applyAlignment="1" applyProtection="0">
      <alignment vertical="top" wrapText="1"/>
    </xf>
    <xf numFmtId="49" fontId="6" fillId="9" borderId="6" applyNumberFormat="1" applyFont="1" applyFill="1" applyBorder="1" applyAlignment="1" applyProtection="0">
      <alignment horizontal="left" vertical="top" wrapText="1" readingOrder="1"/>
    </xf>
    <xf numFmtId="49" fontId="6" fillId="9" borderId="6" applyNumberFormat="1" applyFont="1" applyFill="1" applyBorder="1" applyAlignment="1" applyProtection="0">
      <alignment vertical="top" wrapText="1"/>
    </xf>
    <xf numFmtId="49" fontId="6" fillId="10" borderId="6" applyNumberFormat="1" applyFont="1" applyFill="1" applyBorder="1" applyAlignment="1" applyProtection="0">
      <alignment horizontal="left" vertical="top" wrapText="1" readingOrder="1"/>
    </xf>
    <xf numFmtId="49" fontId="6" fillId="12" borderId="6" applyNumberFormat="1" applyFont="1" applyFill="1" applyBorder="1" applyAlignment="1" applyProtection="0">
      <alignment horizontal="left" vertical="top" wrapText="1" readingOrder="1"/>
    </xf>
    <xf numFmtId="49" fontId="4" fillId="18" borderId="5" applyNumberFormat="1" applyFont="1" applyFill="1" applyBorder="1" applyAlignment="1" applyProtection="0">
      <alignment vertical="top" wrapText="1"/>
    </xf>
    <xf numFmtId="49" fontId="6" fillId="18" borderId="6" applyNumberFormat="1" applyFont="1" applyFill="1" applyBorder="1" applyAlignment="1" applyProtection="0">
      <alignment horizontal="left" vertical="top" wrapText="1" readingOrder="1"/>
    </xf>
    <xf numFmtId="49" fontId="0" fillId="18" borderId="7" applyNumberFormat="1" applyFont="1" applyFill="1" applyBorder="1" applyAlignment="1" applyProtection="0">
      <alignment vertical="top" wrapText="1"/>
    </xf>
    <xf numFmtId="0" fontId="0" fillId="18" borderId="7" applyNumberFormat="1" applyFont="1" applyFill="1" applyBorder="1" applyAlignment="1" applyProtection="0">
      <alignment horizontal="center" vertical="top" wrapText="1"/>
    </xf>
    <xf numFmtId="49" fontId="4" fillId="19" borderId="5" applyNumberFormat="1" applyFont="1" applyFill="1" applyBorder="1" applyAlignment="1" applyProtection="0">
      <alignment vertical="top" wrapText="1"/>
    </xf>
    <xf numFmtId="49" fontId="6" fillId="19" borderId="6" applyNumberFormat="1" applyFont="1" applyFill="1" applyBorder="1" applyAlignment="1" applyProtection="0">
      <alignment horizontal="left" vertical="top" wrapText="1" readingOrder="1"/>
    </xf>
    <xf numFmtId="49" fontId="0" fillId="19" borderId="7" applyNumberFormat="1" applyFont="1" applyFill="1" applyBorder="1" applyAlignment="1" applyProtection="0">
      <alignment vertical="top" wrapText="1"/>
    </xf>
    <xf numFmtId="0" fontId="0" fillId="19" borderId="7" applyNumberFormat="1" applyFont="1" applyFill="1" applyBorder="1" applyAlignment="1" applyProtection="0">
      <alignment horizontal="center" vertical="top" wrapText="1"/>
    </xf>
    <xf numFmtId="49" fontId="7" fillId="19" borderId="7" applyNumberFormat="1" applyFont="1" applyFill="1" applyBorder="1" applyAlignment="1" applyProtection="0">
      <alignment vertical="top" wrapText="1"/>
    </xf>
    <xf numFmtId="0" fontId="7" fillId="19" borderId="7" applyNumberFormat="1" applyFont="1" applyFill="1" applyBorder="1" applyAlignment="1" applyProtection="0">
      <alignment horizontal="center" vertical="top" wrapText="1"/>
    </xf>
    <xf numFmtId="49" fontId="1" fillId="19" borderId="6" applyNumberFormat="1" applyFont="1" applyFill="1" applyBorder="1" applyAlignment="1" applyProtection="0">
      <alignment horizontal="left" vertical="top" wrapText="1" readingOrder="1"/>
    </xf>
    <xf numFmtId="49" fontId="4" fillId="3" borderId="5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8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4" applyNumberFormat="1" applyFont="1" applyFill="0" applyBorder="1" applyAlignment="1" applyProtection="0">
      <alignment horizontal="center"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horizontal="center"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49" fontId="3" fillId="18" borderId="5" applyNumberFormat="1" applyFont="1" applyFill="1" applyBorder="1" applyAlignment="1" applyProtection="0">
      <alignment vertical="top" wrapText="1"/>
    </xf>
    <xf numFmtId="0" fontId="0" fillId="18" borderId="6" applyNumberFormat="1" applyFont="1" applyFill="1" applyBorder="1" applyAlignment="1" applyProtection="0">
      <alignment horizontal="center" vertical="top" wrapText="1"/>
    </xf>
    <xf numFmtId="0" fontId="0" fillId="20" borderId="7" applyNumberFormat="1" applyFont="1" applyFill="1" applyBorder="1" applyAlignment="1" applyProtection="0">
      <alignment horizontal="center" vertical="top" wrapText="1"/>
    </xf>
    <xf numFmtId="0" fontId="0" fillId="21" borderId="7" applyNumberFormat="1" applyFont="1" applyFill="1" applyBorder="1" applyAlignment="1" applyProtection="0">
      <alignment horizontal="center" vertical="top" wrapText="1"/>
    </xf>
    <xf numFmtId="0" fontId="0" borderId="6" applyNumberFormat="0" applyFont="1" applyFill="0" applyBorder="1" applyAlignment="1" applyProtection="0">
      <alignment horizontal="center" vertical="top" wrapText="1"/>
    </xf>
    <xf numFmtId="0" fontId="0" fillId="9" borderId="7" applyNumberFormat="0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49" fontId="5" fillId="22" borderId="6" applyNumberFormat="1" applyFont="1" applyFill="1" applyBorder="1" applyAlignment="1" applyProtection="0">
      <alignment vertical="top" wrapText="1"/>
    </xf>
    <xf numFmtId="49" fontId="4" fillId="23" borderId="5" applyNumberFormat="1" applyFont="1" applyFill="1" applyBorder="1" applyAlignment="1" applyProtection="0">
      <alignment vertical="top" wrapText="1"/>
    </xf>
    <xf numFmtId="49" fontId="5" fillId="23" borderId="6" applyNumberFormat="1" applyFont="1" applyFill="1" applyBorder="1" applyAlignment="1" applyProtection="0">
      <alignment vertical="top" wrapText="1"/>
    </xf>
    <xf numFmtId="49" fontId="0" fillId="23" borderId="7" applyNumberFormat="1" applyFont="1" applyFill="1" applyBorder="1" applyAlignment="1" applyProtection="0">
      <alignment vertical="top" wrapText="1"/>
    </xf>
    <xf numFmtId="0" fontId="0" fillId="23" borderId="7" applyNumberFormat="1" applyFont="1" applyFill="1" applyBorder="1" applyAlignment="1" applyProtection="0">
      <alignment horizontal="center" vertical="top" wrapText="1"/>
    </xf>
    <xf numFmtId="49" fontId="9" fillId="24" borderId="5" applyNumberFormat="1" applyFont="1" applyFill="1" applyBorder="1" applyAlignment="1" applyProtection="0">
      <alignment vertical="top" wrapText="1"/>
    </xf>
    <xf numFmtId="49" fontId="10" fillId="24" borderId="6" applyNumberFormat="1" applyFont="1" applyFill="1" applyBorder="1" applyAlignment="1" applyProtection="0">
      <alignment vertical="top" wrapText="1"/>
    </xf>
    <xf numFmtId="49" fontId="11" fillId="24" borderId="7" applyNumberFormat="1" applyFont="1" applyFill="1" applyBorder="1" applyAlignment="1" applyProtection="0">
      <alignment vertical="top" wrapText="1"/>
    </xf>
    <xf numFmtId="0" fontId="11" fillId="24" borderId="7" applyNumberFormat="1" applyFont="1" applyFill="1" applyBorder="1" applyAlignment="1" applyProtection="0">
      <alignment horizontal="center" vertical="top" wrapText="1"/>
    </xf>
    <xf numFmtId="0" fontId="11" fillId="25" borderId="7" applyNumberFormat="1" applyFont="1" applyFill="1" applyBorder="1" applyAlignment="1" applyProtection="0">
      <alignment horizontal="center" vertical="top" wrapText="1"/>
    </xf>
    <xf numFmtId="0" fontId="12" fillId="24" borderId="7" applyNumberFormat="1" applyFont="1" applyFill="1" applyBorder="1" applyAlignment="1" applyProtection="0">
      <alignment horizontal="center" vertical="top" wrapText="1"/>
    </xf>
    <xf numFmtId="49" fontId="5" fillId="8" borderId="6" applyNumberFormat="1" applyFont="1" applyFill="1" applyBorder="1" applyAlignment="1" applyProtection="0">
      <alignment vertical="top" wrapText="1"/>
    </xf>
    <xf numFmtId="49" fontId="4" fillId="26" borderId="5" applyNumberFormat="1" applyFont="1" applyFill="1" applyBorder="1" applyAlignment="1" applyProtection="0">
      <alignment vertical="top" wrapText="1"/>
    </xf>
    <xf numFmtId="49" fontId="5" fillId="26" borderId="6" applyNumberFormat="1" applyFont="1" applyFill="1" applyBorder="1" applyAlignment="1" applyProtection="0">
      <alignment vertical="top" wrapText="1"/>
    </xf>
    <xf numFmtId="49" fontId="0" fillId="26" borderId="7" applyNumberFormat="1" applyFont="1" applyFill="1" applyBorder="1" applyAlignment="1" applyProtection="0">
      <alignment vertical="top" wrapText="1"/>
    </xf>
    <xf numFmtId="0" fontId="0" fillId="26" borderId="7" applyNumberFormat="1" applyFont="1" applyFill="1" applyBorder="1" applyAlignment="1" applyProtection="0">
      <alignment horizontal="center" vertical="top" wrapText="1"/>
    </xf>
    <xf numFmtId="49" fontId="5" fillId="14" borderId="6" applyNumberFormat="1" applyFont="1" applyFill="1" applyBorder="1" applyAlignment="1" applyProtection="0">
      <alignment vertical="top" wrapText="1"/>
    </xf>
    <xf numFmtId="49" fontId="4" fillId="7" borderId="5" applyNumberFormat="1" applyFont="1" applyFill="1" applyBorder="1" applyAlignment="1" applyProtection="0">
      <alignment vertical="top" wrapText="1"/>
    </xf>
    <xf numFmtId="49" fontId="5" fillId="7" borderId="6" applyNumberFormat="1" applyFont="1" applyFill="1" applyBorder="1" applyAlignment="1" applyProtection="0">
      <alignment vertical="top" wrapText="1"/>
    </xf>
    <xf numFmtId="49" fontId="0" fillId="7" borderId="7" applyNumberFormat="1" applyFont="1" applyFill="1" applyBorder="1" applyAlignment="1" applyProtection="0">
      <alignment vertical="top" wrapText="1"/>
    </xf>
    <xf numFmtId="49" fontId="13" fillId="7" borderId="7" applyNumberFormat="1" applyFont="1" applyFill="1" applyBorder="1" applyAlignment="1" applyProtection="0">
      <alignment vertical="top" wrapText="1"/>
    </xf>
    <xf numFmtId="49" fontId="6" fillId="10" borderId="6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4" fillId="16" borderId="6" applyNumberFormat="1" applyFont="1" applyFill="1" applyBorder="1" applyAlignment="1" applyProtection="0">
      <alignment horizontal="left" vertical="top" wrapText="1" readingOrder="1"/>
    </xf>
    <xf numFmtId="49" fontId="15" fillId="10" borderId="5" applyNumberFormat="1" applyFont="1" applyFill="1" applyBorder="1" applyAlignment="1" applyProtection="0">
      <alignment horizontal="left" vertical="top" wrapText="1" readingOrder="1"/>
    </xf>
    <xf numFmtId="49" fontId="16" fillId="10" borderId="6" applyNumberFormat="1" applyFont="1" applyFill="1" applyBorder="1" applyAlignment="1" applyProtection="0">
      <alignment horizontal="left" vertical="top" wrapText="1" readingOrder="1"/>
    </xf>
    <xf numFmtId="49" fontId="15" fillId="12" borderId="5" applyNumberFormat="1" applyFont="1" applyFill="1" applyBorder="1" applyAlignment="1" applyProtection="0">
      <alignment horizontal="left" vertical="top" wrapText="1" readingOrder="1"/>
    </xf>
    <xf numFmtId="49" fontId="16" fillId="12" borderId="6" applyNumberFormat="1" applyFont="1" applyFill="1" applyBorder="1" applyAlignment="1" applyProtection="0">
      <alignment horizontal="left" vertical="top" wrapText="1" readingOrder="1"/>
    </xf>
    <xf numFmtId="49" fontId="16" fillId="18" borderId="6" applyNumberFormat="1" applyFont="1" applyFill="1" applyBorder="1" applyAlignment="1" applyProtection="0">
      <alignment horizontal="left" vertical="top" wrapText="1" readingOrder="1"/>
    </xf>
    <xf numFmtId="49" fontId="16" fillId="19" borderId="6" applyNumberFormat="1" applyFont="1" applyFill="1" applyBorder="1" applyAlignment="1" applyProtection="0">
      <alignment horizontal="left" vertical="top" wrapText="1" readingOrder="1"/>
    </xf>
    <xf numFmtId="49" fontId="15" fillId="27" borderId="5" applyNumberFormat="1" applyFont="1" applyFill="1" applyBorder="1" applyAlignment="1" applyProtection="0">
      <alignment horizontal="left" vertical="top" wrapText="1" readingOrder="1"/>
    </xf>
    <xf numFmtId="49" fontId="16" fillId="27" borderId="6" applyNumberFormat="1" applyFont="1" applyFill="1" applyBorder="1" applyAlignment="1" applyProtection="0">
      <alignment horizontal="left" vertical="top" wrapText="1" readingOrder="1"/>
    </xf>
    <xf numFmtId="49" fontId="0" fillId="27" borderId="7" applyNumberFormat="1" applyFont="1" applyFill="1" applyBorder="1" applyAlignment="1" applyProtection="0">
      <alignment vertical="top" wrapText="1"/>
    </xf>
    <xf numFmtId="0" fontId="0" fillId="27" borderId="7" applyNumberFormat="1" applyFont="1" applyFill="1" applyBorder="1" applyAlignment="1" applyProtection="0">
      <alignment horizontal="center" vertical="top" wrapText="1"/>
    </xf>
    <xf numFmtId="49" fontId="15" fillId="28" borderId="5" applyNumberFormat="1" applyFont="1" applyFill="1" applyBorder="1" applyAlignment="1" applyProtection="0">
      <alignment horizontal="left" vertical="top" wrapText="1" readingOrder="1"/>
    </xf>
    <xf numFmtId="49" fontId="16" fillId="28" borderId="6" applyNumberFormat="1" applyFont="1" applyFill="1" applyBorder="1" applyAlignment="1" applyProtection="0">
      <alignment horizontal="left" vertical="top" wrapText="1" readingOrder="1"/>
    </xf>
    <xf numFmtId="49" fontId="0" fillId="28" borderId="7" applyNumberFormat="1" applyFont="1" applyFill="1" applyBorder="1" applyAlignment="1" applyProtection="0">
      <alignment vertical="top" wrapText="1"/>
    </xf>
    <xf numFmtId="0" fontId="0" fillId="28" borderId="7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49" fontId="17" fillId="3" borderId="5" applyNumberFormat="1" applyFont="1" applyFill="1" applyBorder="1" applyAlignment="1" applyProtection="0">
      <alignment horizontal="left" vertical="top" wrapText="1" readingOrder="1"/>
    </xf>
    <xf numFmtId="0" fontId="0" fillId="29" borderId="7" applyNumberFormat="1" applyFont="1" applyFill="1" applyBorder="1" applyAlignment="1" applyProtection="0">
      <alignment horizontal="center" vertical="top" wrapText="1"/>
    </xf>
    <xf numFmtId="0" fontId="0" fillId="29" borderId="7" applyNumberFormat="0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18" applyNumberFormat="0" applyFont="1" applyFill="0" applyBorder="0" applyAlignment="1" applyProtection="0">
      <alignment horizontal="center" vertical="center"/>
    </xf>
    <xf numFmtId="49" fontId="3" borderId="7" applyNumberFormat="1" applyFont="1" applyFill="0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49" fontId="4" fillId="30" borderId="5" applyNumberFormat="1" applyFont="1" applyFill="1" applyBorder="1" applyAlignment="1" applyProtection="0">
      <alignment vertical="top" wrapText="1"/>
    </xf>
    <xf numFmtId="49" fontId="6" fillId="30" borderId="6" applyNumberFormat="1" applyFont="1" applyFill="1" applyBorder="1" applyAlignment="1" applyProtection="0">
      <alignment horizontal="left" vertical="top" wrapText="1" readingOrder="1"/>
    </xf>
    <xf numFmtId="49" fontId="0" fillId="30" borderId="7" applyNumberFormat="1" applyFont="1" applyFill="1" applyBorder="1" applyAlignment="1" applyProtection="0">
      <alignment vertical="top" wrapText="1"/>
    </xf>
    <xf numFmtId="0" fontId="0" fillId="30" borderId="7" applyNumberFormat="1" applyFont="1" applyFill="1" applyBorder="1" applyAlignment="1" applyProtection="0">
      <alignment horizontal="center" vertical="top" wrapText="1"/>
    </xf>
    <xf numFmtId="49" fontId="19" fillId="31" borderId="5" applyNumberFormat="1" applyFont="1" applyFill="1" applyBorder="1" applyAlignment="1" applyProtection="0">
      <alignment vertical="top" wrapText="1"/>
    </xf>
    <xf numFmtId="49" fontId="20" fillId="31" borderId="6" applyNumberFormat="1" applyFont="1" applyFill="1" applyBorder="1" applyAlignment="1" applyProtection="0">
      <alignment horizontal="left" vertical="top" wrapText="1" readingOrder="1"/>
    </xf>
    <xf numFmtId="49" fontId="21" fillId="31" borderId="7" applyNumberFormat="1" applyFont="1" applyFill="1" applyBorder="1" applyAlignment="1" applyProtection="0">
      <alignment vertical="top" wrapText="1"/>
    </xf>
    <xf numFmtId="0" fontId="21" fillId="31" borderId="7" applyNumberFormat="1" applyFont="1" applyFill="1" applyBorder="1" applyAlignment="1" applyProtection="0">
      <alignment horizontal="center" vertical="top" wrapText="1"/>
    </xf>
    <xf numFmtId="49" fontId="4" fillId="32" borderId="5" applyNumberFormat="1" applyFont="1" applyFill="1" applyBorder="1" applyAlignment="1" applyProtection="0">
      <alignment vertical="top" wrapText="1"/>
    </xf>
    <xf numFmtId="49" fontId="6" fillId="32" borderId="6" applyNumberFormat="1" applyFont="1" applyFill="1" applyBorder="1" applyAlignment="1" applyProtection="0">
      <alignment horizontal="left" vertical="top" wrapText="1" readingOrder="1"/>
    </xf>
    <xf numFmtId="49" fontId="0" fillId="32" borderId="7" applyNumberFormat="1" applyFont="1" applyFill="1" applyBorder="1" applyAlignment="1" applyProtection="0">
      <alignment vertical="top" wrapText="1"/>
    </xf>
    <xf numFmtId="0" fontId="0" fillId="32" borderId="7" applyNumberFormat="1" applyFont="1" applyFill="1" applyBorder="1" applyAlignment="1" applyProtection="0">
      <alignment horizontal="center" vertical="top" wrapText="1"/>
    </xf>
    <xf numFmtId="49" fontId="4" fillId="8" borderId="5" applyNumberFormat="1" applyFont="1" applyFill="1" applyBorder="1" applyAlignment="1" applyProtection="0">
      <alignment vertical="top" wrapText="1"/>
    </xf>
    <xf numFmtId="49" fontId="6" fillId="8" borderId="6" applyNumberFormat="1" applyFont="1" applyFill="1" applyBorder="1" applyAlignment="1" applyProtection="0">
      <alignment horizontal="left" vertical="top" wrapText="1" readingOrder="1"/>
    </xf>
    <xf numFmtId="0" fontId="0" fillId="33" borderId="7" applyNumberFormat="1" applyFont="1" applyFill="1" applyBorder="1" applyAlignment="1" applyProtection="0">
      <alignment horizontal="center" vertical="top" wrapText="1"/>
    </xf>
    <xf numFmtId="49" fontId="4" fillId="34" borderId="5" applyNumberFormat="1" applyFont="1" applyFill="1" applyBorder="1" applyAlignment="1" applyProtection="0">
      <alignment vertical="top" wrapText="1"/>
    </xf>
    <xf numFmtId="49" fontId="6" fillId="34" borderId="6" applyNumberFormat="1" applyFont="1" applyFill="1" applyBorder="1" applyAlignment="1" applyProtection="0">
      <alignment vertical="top" wrapText="1"/>
    </xf>
    <xf numFmtId="49" fontId="0" fillId="34" borderId="7" applyNumberFormat="1" applyFont="1" applyFill="1" applyBorder="1" applyAlignment="1" applyProtection="0">
      <alignment vertical="top" wrapText="1"/>
    </xf>
    <xf numFmtId="0" fontId="0" fillId="34" borderId="7" applyNumberFormat="1" applyFont="1" applyFill="1" applyBorder="1" applyAlignment="1" applyProtection="0">
      <alignment horizontal="center" vertical="top" wrapText="1"/>
    </xf>
    <xf numFmtId="49" fontId="4" fillId="35" borderId="5" applyNumberFormat="1" applyFont="1" applyFill="1" applyBorder="1" applyAlignment="1" applyProtection="0">
      <alignment vertical="top" wrapText="1"/>
    </xf>
    <xf numFmtId="49" fontId="6" fillId="35" borderId="6" applyNumberFormat="1" applyFont="1" applyFill="1" applyBorder="1" applyAlignment="1" applyProtection="0">
      <alignment horizontal="left" vertical="top" wrapText="1" readingOrder="1"/>
    </xf>
    <xf numFmtId="49" fontId="0" fillId="35" borderId="7" applyNumberFormat="1" applyFont="1" applyFill="1" applyBorder="1" applyAlignment="1" applyProtection="0">
      <alignment vertical="top" wrapText="1"/>
    </xf>
    <xf numFmtId="0" fontId="0" fillId="35" borderId="7" applyNumberFormat="1" applyFont="1" applyFill="1" applyBorder="1" applyAlignment="1" applyProtection="0">
      <alignment horizontal="center" vertical="top" wrapText="1"/>
    </xf>
    <xf numFmtId="49" fontId="0" fillId="35" borderId="7" applyNumberFormat="1" applyFont="1" applyFill="1" applyBorder="1" applyAlignment="1" applyProtection="0">
      <alignment horizontal="left" vertical="top" wrapText="1" readingOrder="1"/>
    </xf>
    <xf numFmtId="49" fontId="4" fillId="36" borderId="5" applyNumberFormat="1" applyFont="1" applyFill="1" applyBorder="1" applyAlignment="1" applyProtection="0">
      <alignment vertical="top" wrapText="1"/>
    </xf>
    <xf numFmtId="49" fontId="6" fillId="36" borderId="6" applyNumberFormat="1" applyFont="1" applyFill="1" applyBorder="1" applyAlignment="1" applyProtection="0">
      <alignment horizontal="left" vertical="top" wrapText="1" readingOrder="1"/>
    </xf>
    <xf numFmtId="49" fontId="0" fillId="36" borderId="7" applyNumberFormat="1" applyFont="1" applyFill="1" applyBorder="1" applyAlignment="1" applyProtection="0">
      <alignment vertical="top" wrapText="1"/>
    </xf>
    <xf numFmtId="0" fontId="0" fillId="36" borderId="7" applyNumberFormat="1" applyFont="1" applyFill="1" applyBorder="1" applyAlignment="1" applyProtection="0">
      <alignment horizontal="center" vertical="top" wrapText="1"/>
    </xf>
    <xf numFmtId="0" fontId="0" fillId="37" borderId="7" applyNumberFormat="1" applyFont="1" applyFill="1" applyBorder="1" applyAlignment="1" applyProtection="0">
      <alignment horizontal="center" vertical="top" wrapText="1"/>
    </xf>
    <xf numFmtId="49" fontId="4" fillId="37" borderId="5" applyNumberFormat="1" applyFont="1" applyFill="1" applyBorder="1" applyAlignment="1" applyProtection="0">
      <alignment vertical="top" wrapText="1"/>
    </xf>
    <xf numFmtId="49" fontId="6" fillId="37" borderId="6" applyNumberFormat="1" applyFont="1" applyFill="1" applyBorder="1" applyAlignment="1" applyProtection="0">
      <alignment horizontal="left" vertical="top" wrapText="1" readingOrder="1"/>
    </xf>
    <xf numFmtId="49" fontId="0" fillId="37" borderId="7" applyNumberFormat="1" applyFont="1" applyFill="1" applyBorder="1" applyAlignment="1" applyProtection="0">
      <alignment vertical="top" wrapText="1"/>
    </xf>
    <xf numFmtId="49" fontId="4" fillId="12" borderId="5" applyNumberFormat="1" applyFont="1" applyFill="1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fillId="6" borderId="6" applyNumberFormat="1" applyFont="1" applyFill="1" applyBorder="1" applyAlignment="1" applyProtection="0">
      <alignment horizontal="left" vertical="top" wrapText="1" readingOrder="1"/>
    </xf>
    <xf numFmtId="49" fontId="0" fillId="38" borderId="7" applyNumberFormat="1" applyFont="1" applyFill="1" applyBorder="1" applyAlignment="1" applyProtection="0">
      <alignment vertical="top" wrapText="1"/>
    </xf>
    <xf numFmtId="0" fontId="0" fillId="38" borderId="7" applyNumberFormat="1" applyFont="1" applyFill="1" applyBorder="1" applyAlignment="1" applyProtection="0">
      <alignment horizontal="center" vertical="top" wrapText="1"/>
    </xf>
    <xf numFmtId="49" fontId="5" fillId="12" borderId="6" applyNumberFormat="1" applyFont="1" applyFill="1" applyBorder="1" applyAlignment="1" applyProtection="0">
      <alignment horizontal="left" vertical="top" wrapText="1" readingOrder="1"/>
    </xf>
    <xf numFmtId="49" fontId="4" fillId="39" borderId="5" applyNumberFormat="1" applyFont="1" applyFill="1" applyBorder="1" applyAlignment="1" applyProtection="0">
      <alignment vertical="top" wrapText="1"/>
    </xf>
    <xf numFmtId="49" fontId="5" fillId="39" borderId="6" applyNumberFormat="1" applyFont="1" applyFill="1" applyBorder="1" applyAlignment="1" applyProtection="0">
      <alignment horizontal="left" vertical="top" wrapText="1" readingOrder="1"/>
    </xf>
    <xf numFmtId="49" fontId="0" fillId="39" borderId="7" applyNumberFormat="1" applyFont="1" applyFill="1" applyBorder="1" applyAlignment="1" applyProtection="0">
      <alignment vertical="top" wrapText="1"/>
    </xf>
    <xf numFmtId="0" fontId="0" fillId="39" borderId="7" applyNumberFormat="1" applyFont="1" applyFill="1" applyBorder="1" applyAlignment="1" applyProtection="0">
      <alignment horizontal="center" vertical="top" wrapText="1"/>
    </xf>
    <xf numFmtId="0" fontId="0" fillId="40" borderId="7" applyNumberFormat="1" applyFont="1" applyFill="1" applyBorder="1" applyAlignment="1" applyProtection="0">
      <alignment horizontal="center" vertical="top" wrapText="1"/>
    </xf>
    <xf numFmtId="49" fontId="5" fillId="9" borderId="6" applyNumberFormat="1" applyFont="1" applyFill="1" applyBorder="1" applyAlignment="1" applyProtection="0">
      <alignment horizontal="left" vertical="top" wrapText="1" readingOrder="1"/>
    </xf>
    <xf numFmtId="0" fontId="4" fillId="9" borderId="5" applyNumberFormat="0" applyFont="1" applyFill="1" applyBorder="1" applyAlignment="1" applyProtection="0">
      <alignment vertical="top" wrapText="1"/>
    </xf>
    <xf numFmtId="49" fontId="5" fillId="10" borderId="6" applyNumberFormat="1" applyFont="1" applyFill="1" applyBorder="1" applyAlignment="1" applyProtection="0">
      <alignment horizontal="left" vertical="top" wrapText="1" readingOrder="1"/>
    </xf>
    <xf numFmtId="0" fontId="0" fillId="6" borderId="7" applyNumberFormat="0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horizontal="center" vertical="top" wrapText="1"/>
    </xf>
    <xf numFmtId="0" fontId="0" fillId="40" borderId="7" applyNumberFormat="0" applyFont="1" applyFill="1" applyBorder="1" applyAlignment="1" applyProtection="0">
      <alignment horizontal="center" vertical="top" wrapText="1"/>
    </xf>
    <xf numFmtId="0" fontId="0" fillId="41" borderId="7" applyNumberFormat="1" applyFont="1" applyFill="1" applyBorder="1" applyAlignment="1" applyProtection="0">
      <alignment horizontal="center" vertical="top" wrapText="1"/>
    </xf>
    <xf numFmtId="49" fontId="4" fillId="42" borderId="5" applyNumberFormat="1" applyFont="1" applyFill="1" applyBorder="1" applyAlignment="1" applyProtection="0">
      <alignment vertical="top" wrapText="1"/>
    </xf>
    <xf numFmtId="49" fontId="5" fillId="42" borderId="6" applyNumberFormat="1" applyFont="1" applyFill="1" applyBorder="1" applyAlignment="1" applyProtection="0">
      <alignment horizontal="left" vertical="top" wrapText="1" readingOrder="1"/>
    </xf>
    <xf numFmtId="49" fontId="0" fillId="42" borderId="7" applyNumberFormat="1" applyFont="1" applyFill="1" applyBorder="1" applyAlignment="1" applyProtection="0">
      <alignment vertical="top" wrapText="1"/>
    </xf>
    <xf numFmtId="0" fontId="0" fillId="42" borderId="7" applyNumberFormat="1" applyFont="1" applyFill="1" applyBorder="1" applyAlignment="1" applyProtection="0">
      <alignment horizontal="center" vertical="top" wrapText="1"/>
    </xf>
    <xf numFmtId="49" fontId="4" fillId="43" borderId="5" applyNumberFormat="1" applyFont="1" applyFill="1" applyBorder="1" applyAlignment="1" applyProtection="0">
      <alignment vertical="top" wrapText="1"/>
    </xf>
    <xf numFmtId="49" fontId="5" fillId="43" borderId="6" applyNumberFormat="1" applyFont="1" applyFill="1" applyBorder="1" applyAlignment="1" applyProtection="0">
      <alignment horizontal="left" vertical="top" wrapText="1" readingOrder="1"/>
    </xf>
    <xf numFmtId="49" fontId="0" fillId="43" borderId="7" applyNumberFormat="1" applyFont="1" applyFill="1" applyBorder="1" applyAlignment="1" applyProtection="0">
      <alignment vertical="top" wrapText="1"/>
    </xf>
    <xf numFmtId="0" fontId="0" fillId="43" borderId="7" applyNumberFormat="1" applyFont="1" applyFill="1" applyBorder="1" applyAlignment="1" applyProtection="0">
      <alignment horizontal="center" vertical="top" wrapText="1"/>
    </xf>
    <xf numFmtId="49" fontId="0" fillId="43" borderId="7" applyNumberFormat="1" applyFont="1" applyFill="1" applyBorder="1" applyAlignment="1" applyProtection="0">
      <alignment horizontal="center" vertical="top" wrapText="1"/>
    </xf>
    <xf numFmtId="0" fontId="0" fillId="44" borderId="7" applyNumberFormat="1" applyFont="1" applyFill="1" applyBorder="1" applyAlignment="1" applyProtection="0">
      <alignment horizontal="center" vertical="top" wrapText="1"/>
    </xf>
    <xf numFmtId="49" fontId="5" fillId="13" borderId="6" applyNumberFormat="1" applyFont="1" applyFill="1" applyBorder="1" applyAlignment="1" applyProtection="0">
      <alignment horizontal="left" vertical="top" wrapText="1" readingOrder="1"/>
    </xf>
    <xf numFmtId="49" fontId="5" fillId="8" borderId="6" applyNumberFormat="1" applyFont="1" applyFill="1" applyBorder="1" applyAlignment="1" applyProtection="0">
      <alignment horizontal="left" vertical="top" wrapText="1" readingOrder="1"/>
    </xf>
    <xf numFmtId="0" fontId="5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fillId="6" borderId="5" applyNumberFormat="0" applyFont="1" applyFill="1" applyBorder="1" applyAlignment="1" applyProtection="0">
      <alignment vertical="top" wrapText="1"/>
    </xf>
    <xf numFmtId="0" fontId="0" fillId="38" borderId="7" applyNumberFormat="0" applyFont="1" applyFill="1" applyBorder="1" applyAlignment="1" applyProtection="0">
      <alignment horizontal="center" vertical="top" wrapText="1"/>
    </xf>
    <xf numFmtId="0" fontId="0" fillId="15" borderId="7" applyNumberFormat="0" applyFont="1" applyFill="1" applyBorder="1" applyAlignment="1" applyProtection="0">
      <alignment vertical="top" wrapText="1"/>
    </xf>
    <xf numFmtId="0" fontId="0" fillId="15" borderId="7" applyNumberFormat="0" applyFont="1" applyFill="1" applyBorder="1" applyAlignment="1" applyProtection="0">
      <alignment horizontal="center" vertical="top" wrapText="1"/>
    </xf>
    <xf numFmtId="0" fontId="0" fillId="15" borderId="7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10" borderId="7" applyNumberFormat="0" applyFont="1" applyFill="1" applyBorder="1" applyAlignment="1" applyProtection="0">
      <alignment horizontal="center" vertical="top" wrapText="1"/>
    </xf>
    <xf numFmtId="0" fontId="0" fillId="12" borderId="7" applyNumberFormat="0" applyFont="1" applyFill="1" applyBorder="1" applyAlignment="1" applyProtection="0">
      <alignment horizontal="center" vertical="top" wrapText="1"/>
    </xf>
    <xf numFmtId="0" fontId="0" fillId="13" borderId="7" applyNumberFormat="0" applyFont="1" applyFill="1" applyBorder="1" applyAlignment="1" applyProtection="0">
      <alignment horizontal="center" vertical="top" wrapText="1"/>
    </xf>
    <xf numFmtId="0" fontId="0" fillId="29" borderId="7" applyNumberFormat="0" applyFont="1" applyFill="1" applyBorder="1" applyAlignment="1" applyProtection="0">
      <alignment vertical="top" wrapText="1"/>
    </xf>
    <xf numFmtId="0" fontId="0" fillId="14" borderId="7" applyNumberFormat="0" applyFont="1" applyFill="1" applyBorder="1" applyAlignment="1" applyProtection="0">
      <alignment horizontal="center" vertical="top" wrapText="1"/>
    </xf>
    <xf numFmtId="49" fontId="5" fillId="16" borderId="6" applyNumberFormat="1" applyFont="1" applyFill="1" applyBorder="1" applyAlignment="1" applyProtection="0">
      <alignment horizontal="left" vertical="top" wrapText="1" readingOrder="1"/>
    </xf>
    <xf numFmtId="0" fontId="0" fillId="45" borderId="7" applyNumberFormat="0" applyFont="1" applyFill="1" applyBorder="1" applyAlignment="1" applyProtection="0">
      <alignment horizontal="center" vertical="top" wrapText="1"/>
    </xf>
    <xf numFmtId="49" fontId="6" fillId="12" borderId="6" applyNumberFormat="1" applyFont="1" applyFill="1" applyBorder="1" applyAlignment="1" applyProtection="0">
      <alignment vertical="top" wrapText="1"/>
    </xf>
    <xf numFmtId="0" fontId="0" fillId="44" borderId="7" applyNumberFormat="0" applyFont="1" applyFill="1" applyBorder="1" applyAlignment="1" applyProtection="0">
      <alignment horizontal="center" vertical="top" wrapText="1"/>
    </xf>
    <xf numFmtId="49" fontId="4" fillId="46" borderId="5" applyNumberFormat="1" applyFont="1" applyFill="1" applyBorder="1" applyAlignment="1" applyProtection="0">
      <alignment vertical="top" wrapText="1"/>
    </xf>
    <xf numFmtId="49" fontId="1" fillId="46" borderId="6" applyNumberFormat="1" applyFont="1" applyFill="1" applyBorder="1" applyAlignment="1" applyProtection="0">
      <alignment horizontal="left" vertical="top" wrapText="1" readingOrder="1"/>
    </xf>
    <xf numFmtId="49" fontId="0" fillId="46" borderId="7" applyNumberFormat="1" applyFont="1" applyFill="1" applyBorder="1" applyAlignment="1" applyProtection="0">
      <alignment vertical="top" wrapText="1"/>
    </xf>
    <xf numFmtId="0" fontId="0" fillId="46" borderId="7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indexed="14"/>
          <bgColor indexed="15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ff3ff"/>
      <rgbColor rgb="00000000"/>
      <rgbColor rgb="e5ff9781"/>
      <rgbColor rgb="ffbbfdf4"/>
      <rgbColor rgb="ffc3fca6"/>
      <rgbColor rgb="ff74ff00"/>
      <rgbColor rgb="fffff8ad"/>
      <rgbColor rgb="fffff7a9"/>
      <rgbColor rgb="ffffcac5"/>
      <rgbColor rgb="fffec9c6"/>
      <rgbColor rgb="ffffcae4"/>
      <rgbColor rgb="ffaae0ff"/>
      <rgbColor rgb="ffb8fdf4"/>
      <rgbColor rgb="fffe634d"/>
      <rgbColor rgb="ffc3fca6"/>
      <rgbColor rgb="ffff968c"/>
      <rgbColor rgb="ffaadffe"/>
      <rgbColor rgb="ffb9fdf4"/>
      <rgbColor rgb="ffd93d2a"/>
      <rgbColor rgb="fffff7aa"/>
      <rgbColor rgb="fffff7ab"/>
      <rgbColor rgb="ffe0f3ff"/>
      <rgbColor rgb="ffc8ccf1"/>
      <rgbColor rgb="fffefefe"/>
      <rgbColor rgb="ff8674c1"/>
      <rgbColor rgb="ff8573c1"/>
      <rgbColor rgb="ffffffff"/>
      <rgbColor rgb="ffe8ae7a"/>
      <rgbColor rgb="ffffb783"/>
      <rgbColor rgb="fff9ef85"/>
      <rgbColor rgb="fffff056"/>
      <rgbColor rgb="ffbcc0ee"/>
      <rgbColor rgb="ff393939"/>
      <rgbColor rgb="ffc4c8cf"/>
      <rgbColor rgb="ff99b5f3"/>
      <rgbColor rgb="ffff9180"/>
      <rgbColor rgb="ffa6f091"/>
      <rgbColor rgb="ffd0add0"/>
      <rgbColor rgb="fff5ef90"/>
      <rgbColor rgb="ff75eb95"/>
      <rgbColor rgb="ffc3fca8"/>
      <rgbColor rgb="ffd5d5d5"/>
      <rgbColor rgb="ffff94ca"/>
      <rgbColor rgb="ff88f94e"/>
      <rgbColor rgb="ff72fce9"/>
      <rgbColor rgb="fffed377"/>
      <rgbColor rgb="ffffd931"/>
      <rgbColor rgb="ffed220b"/>
      <rgbColor rgb="ff56c1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P37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7578" style="1" customWidth="1"/>
    <col min="2" max="2" width="47.2188" style="1" customWidth="1"/>
    <col min="3" max="3" width="34.1406" style="1" customWidth="1"/>
    <col min="4" max="8" width="16.3516" style="1" customWidth="1"/>
    <col min="9" max="9" width="41.7109" style="72" customWidth="1"/>
    <col min="10" max="10" width="8.85156" style="72" customWidth="1"/>
    <col min="11" max="11" width="6.67188" style="72" customWidth="1"/>
    <col min="12" max="12" width="11" style="72" customWidth="1"/>
    <col min="13" max="13" width="10.6719" style="72" customWidth="1"/>
    <col min="14" max="14" width="10.5" style="72" customWidth="1"/>
    <col min="15" max="15" width="15.5" style="72" customWidth="1"/>
    <col min="16" max="16" width="10.8516" style="72" customWidth="1"/>
    <col min="17" max="16384" width="16.3516" style="72" customWidth="1"/>
  </cols>
  <sheetData>
    <row r="1" ht="37.4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s="3"/>
      <c r="B2" s="3"/>
      <c r="C2" s="3"/>
      <c r="D2" s="4"/>
      <c r="E2" s="4"/>
      <c r="F2" s="4"/>
      <c r="G2" s="4"/>
      <c r="H2" s="4"/>
    </row>
    <row r="3" ht="32.25" customHeight="1">
      <c r="A3" t="s" s="5">
        <v>1</v>
      </c>
      <c r="B3" t="s" s="6">
        <v>2</v>
      </c>
      <c r="C3" t="s" s="7">
        <v>3</v>
      </c>
      <c r="D3" t="s" s="7">
        <v>4</v>
      </c>
      <c r="E3" t="s" s="7">
        <v>5</v>
      </c>
      <c r="F3" t="s" s="7">
        <v>6</v>
      </c>
      <c r="G3" t="s" s="7">
        <v>7</v>
      </c>
      <c r="H3" t="s" s="7">
        <v>8</v>
      </c>
    </row>
    <row r="4" ht="20.05" customHeight="1">
      <c r="A4" t="s" s="8">
        <v>9</v>
      </c>
      <c r="B4" t="s" s="9">
        <v>10</v>
      </c>
      <c r="C4" t="s" s="10">
        <v>11</v>
      </c>
      <c r="D4" s="11">
        <v>3</v>
      </c>
      <c r="E4" s="11">
        <v>5</v>
      </c>
      <c r="F4" s="11">
        <v>6</v>
      </c>
      <c r="G4" s="11">
        <v>0</v>
      </c>
      <c r="H4" s="11">
        <v>1</v>
      </c>
    </row>
    <row r="5" ht="20.05" customHeight="1">
      <c r="A5" s="12"/>
      <c r="B5" s="13"/>
      <c r="C5" t="s" s="10">
        <v>12</v>
      </c>
      <c r="D5" s="11">
        <v>0</v>
      </c>
      <c r="E5" s="11">
        <v>4</v>
      </c>
      <c r="F5" s="11">
        <v>5</v>
      </c>
      <c r="G5" s="11">
        <v>0</v>
      </c>
      <c r="H5" s="11">
        <v>1</v>
      </c>
    </row>
    <row r="6" ht="20.05" customHeight="1">
      <c r="A6" s="12"/>
      <c r="B6" s="13"/>
      <c r="C6" t="s" s="10">
        <v>13</v>
      </c>
      <c r="D6" s="11">
        <v>0</v>
      </c>
      <c r="E6" s="11">
        <v>0</v>
      </c>
      <c r="F6" s="11">
        <v>5</v>
      </c>
      <c r="G6" s="11">
        <v>0</v>
      </c>
      <c r="H6" s="11">
        <v>1</v>
      </c>
    </row>
    <row r="7" ht="20.05" customHeight="1">
      <c r="A7" s="12"/>
      <c r="B7" s="13"/>
      <c r="C7" t="s" s="10">
        <v>14</v>
      </c>
      <c r="D7" s="11">
        <v>0</v>
      </c>
      <c r="E7" s="11">
        <v>6</v>
      </c>
      <c r="F7" s="11">
        <v>5</v>
      </c>
      <c r="G7" s="11">
        <v>0</v>
      </c>
      <c r="H7" s="11">
        <v>0</v>
      </c>
    </row>
    <row r="8" ht="20.05" customHeight="1">
      <c r="A8" s="12"/>
      <c r="B8" s="13"/>
      <c r="C8" t="s" s="10">
        <v>15</v>
      </c>
      <c r="D8" s="11">
        <v>0</v>
      </c>
      <c r="E8" s="11">
        <v>0</v>
      </c>
      <c r="F8" s="11">
        <v>2</v>
      </c>
      <c r="G8" s="11">
        <v>0</v>
      </c>
      <c r="H8" s="11">
        <v>0</v>
      </c>
    </row>
    <row r="9" ht="20.05" customHeight="1">
      <c r="A9" s="12"/>
      <c r="B9" t="s" s="9">
        <v>16</v>
      </c>
      <c r="C9" t="s" s="10">
        <v>17</v>
      </c>
      <c r="D9" s="11">
        <v>1</v>
      </c>
      <c r="E9" s="11">
        <v>6</v>
      </c>
      <c r="F9" s="11">
        <v>8</v>
      </c>
      <c r="G9" s="11">
        <v>3</v>
      </c>
      <c r="H9" s="11">
        <v>1</v>
      </c>
    </row>
    <row r="10" ht="20.05" customHeight="1">
      <c r="A10" s="12"/>
      <c r="B10" s="13"/>
      <c r="C10" t="s" s="10">
        <v>18</v>
      </c>
      <c r="D10" s="11">
        <v>1</v>
      </c>
      <c r="E10" s="11">
        <v>2</v>
      </c>
      <c r="F10" s="11">
        <v>5</v>
      </c>
      <c r="G10" s="11">
        <v>0</v>
      </c>
      <c r="H10" s="11">
        <v>0</v>
      </c>
    </row>
    <row r="11" ht="8.15" customHeight="1">
      <c r="A11" s="12"/>
      <c r="B11" s="13"/>
      <c r="C11" t="s" s="10">
        <v>19</v>
      </c>
      <c r="D11" s="11">
        <v>2</v>
      </c>
      <c r="E11" s="11">
        <v>4</v>
      </c>
      <c r="F11" s="11">
        <v>9</v>
      </c>
      <c r="G11" s="11">
        <v>2</v>
      </c>
      <c r="H11" s="11">
        <v>1</v>
      </c>
    </row>
    <row r="12" ht="11.7" customHeight="1">
      <c r="A12" s="12"/>
      <c r="B12" s="13"/>
      <c r="C12" s="14"/>
      <c r="D12" s="14"/>
      <c r="E12" s="14"/>
      <c r="F12" s="14"/>
      <c r="G12" s="14"/>
      <c r="H12" s="14"/>
    </row>
    <row r="13" ht="20.05" customHeight="1">
      <c r="A13" s="12"/>
      <c r="B13" s="13"/>
      <c r="C13" t="s" s="10">
        <v>20</v>
      </c>
      <c r="D13" s="11">
        <v>1</v>
      </c>
      <c r="E13" s="11">
        <v>2</v>
      </c>
      <c r="F13" s="11">
        <v>5</v>
      </c>
      <c r="G13" s="11">
        <v>1</v>
      </c>
      <c r="H13" s="11">
        <v>1</v>
      </c>
    </row>
    <row r="14" ht="20.05" customHeight="1">
      <c r="A14" s="12"/>
      <c r="B14" s="13"/>
      <c r="C14" t="s" s="10">
        <v>21</v>
      </c>
      <c r="D14" s="11">
        <v>1</v>
      </c>
      <c r="E14" s="11">
        <v>3</v>
      </c>
      <c r="F14" s="11">
        <v>7</v>
      </c>
      <c r="G14" s="11">
        <v>0</v>
      </c>
      <c r="H14" s="11">
        <v>1</v>
      </c>
    </row>
    <row r="15" ht="20.05" customHeight="1">
      <c r="A15" s="12"/>
      <c r="B15" s="13"/>
      <c r="C15" t="s" s="10">
        <v>22</v>
      </c>
      <c r="D15" s="11">
        <v>1</v>
      </c>
      <c r="E15" s="11">
        <v>2</v>
      </c>
      <c r="F15" s="11">
        <v>6</v>
      </c>
      <c r="G15" s="11">
        <v>1</v>
      </c>
      <c r="H15" s="11">
        <v>1</v>
      </c>
    </row>
    <row r="16" ht="20.05" customHeight="1">
      <c r="A16" s="12"/>
      <c r="B16" t="s" s="9">
        <v>23</v>
      </c>
      <c r="C16" t="s" s="10">
        <v>24</v>
      </c>
      <c r="D16" s="11">
        <v>1</v>
      </c>
      <c r="E16" s="11">
        <v>5</v>
      </c>
      <c r="F16" s="11">
        <v>5</v>
      </c>
      <c r="G16" s="11">
        <v>1</v>
      </c>
      <c r="H16" s="11">
        <v>1</v>
      </c>
    </row>
    <row r="17" ht="20.05" customHeight="1">
      <c r="A17" s="12"/>
      <c r="B17" s="13"/>
      <c r="C17" t="s" s="10">
        <v>25</v>
      </c>
      <c r="D17" s="11">
        <v>1</v>
      </c>
      <c r="E17" s="11">
        <v>2</v>
      </c>
      <c r="F17" s="11">
        <v>5</v>
      </c>
      <c r="G17" s="11">
        <v>0</v>
      </c>
      <c r="H17" s="11">
        <v>1</v>
      </c>
    </row>
    <row r="18" ht="20.05" customHeight="1">
      <c r="A18" s="12"/>
      <c r="B18" s="13"/>
      <c r="C18" t="s" s="10">
        <v>26</v>
      </c>
      <c r="D18" s="11">
        <v>2</v>
      </c>
      <c r="E18" s="11">
        <v>6</v>
      </c>
      <c r="F18" s="11">
        <v>5</v>
      </c>
      <c r="G18" s="11">
        <v>0</v>
      </c>
      <c r="H18" s="11">
        <v>1</v>
      </c>
    </row>
    <row r="19" ht="20.05" customHeight="1">
      <c r="A19" s="12"/>
      <c r="B19" s="13"/>
      <c r="C19" t="s" s="10">
        <v>27</v>
      </c>
      <c r="D19" s="11">
        <v>0</v>
      </c>
      <c r="E19" s="11">
        <v>3</v>
      </c>
      <c r="F19" s="11">
        <v>2</v>
      </c>
      <c r="G19" s="11">
        <v>1</v>
      </c>
      <c r="H19" s="11">
        <v>1</v>
      </c>
    </row>
    <row r="20" ht="20.05" customHeight="1">
      <c r="A20" s="12"/>
      <c r="B20" s="13"/>
      <c r="C20" t="s" s="10">
        <v>28</v>
      </c>
      <c r="D20" s="11">
        <v>1</v>
      </c>
      <c r="E20" s="11">
        <v>0</v>
      </c>
      <c r="F20" s="11">
        <v>5</v>
      </c>
      <c r="G20" s="11">
        <v>0</v>
      </c>
      <c r="H20" s="11">
        <v>0</v>
      </c>
    </row>
    <row r="21" ht="20.05" customHeight="1">
      <c r="A21" s="12"/>
      <c r="B21" t="s" s="9">
        <v>29</v>
      </c>
      <c r="C21" t="s" s="10">
        <v>30</v>
      </c>
      <c r="D21" s="11">
        <v>1</v>
      </c>
      <c r="E21" s="11">
        <v>5</v>
      </c>
      <c r="F21" s="11">
        <v>0</v>
      </c>
      <c r="G21" s="11">
        <v>0</v>
      </c>
      <c r="H21" s="11">
        <v>0</v>
      </c>
    </row>
    <row r="22" ht="20.05" customHeight="1">
      <c r="A22" s="12"/>
      <c r="B22" s="13"/>
      <c r="C22" t="s" s="10">
        <v>31</v>
      </c>
      <c r="D22" s="11">
        <v>1</v>
      </c>
      <c r="E22" s="11">
        <v>2</v>
      </c>
      <c r="F22" s="11">
        <v>7</v>
      </c>
      <c r="G22" s="11">
        <v>0</v>
      </c>
      <c r="H22" s="11">
        <v>0</v>
      </c>
    </row>
    <row r="23" ht="20.05" customHeight="1">
      <c r="A23" s="12"/>
      <c r="B23" s="13"/>
      <c r="C23" t="s" s="10">
        <v>32</v>
      </c>
      <c r="D23" s="11">
        <v>4</v>
      </c>
      <c r="E23" s="11">
        <v>0</v>
      </c>
      <c r="F23" s="11">
        <v>5</v>
      </c>
      <c r="G23" s="11">
        <v>1</v>
      </c>
      <c r="H23" s="11">
        <v>1</v>
      </c>
    </row>
    <row r="24" ht="20.05" customHeight="1">
      <c r="A24" s="12"/>
      <c r="B24" s="13"/>
      <c r="C24" t="s" s="10">
        <v>33</v>
      </c>
      <c r="D24" s="11">
        <v>1</v>
      </c>
      <c r="E24" s="11">
        <v>3</v>
      </c>
      <c r="F24" s="11">
        <v>5</v>
      </c>
      <c r="G24" s="11">
        <v>1</v>
      </c>
      <c r="H24" s="11">
        <v>1</v>
      </c>
    </row>
    <row r="25" ht="8.15" customHeight="1">
      <c r="A25" s="12"/>
      <c r="B25" t="s" s="9">
        <v>34</v>
      </c>
      <c r="C25" t="s" s="10">
        <v>35</v>
      </c>
      <c r="D25" s="11">
        <v>0</v>
      </c>
      <c r="E25" s="11">
        <v>3</v>
      </c>
      <c r="F25" s="11">
        <v>2</v>
      </c>
      <c r="G25" s="11">
        <v>0</v>
      </c>
      <c r="H25" s="11">
        <v>0</v>
      </c>
    </row>
    <row r="26" ht="11.7" customHeight="1">
      <c r="A26" s="12"/>
      <c r="B26" s="13"/>
      <c r="C26" s="14"/>
      <c r="D26" s="14"/>
      <c r="E26" s="14"/>
      <c r="F26" s="14"/>
      <c r="G26" s="14"/>
      <c r="H26" s="14"/>
    </row>
    <row r="27" ht="20.05" customHeight="1">
      <c r="A27" s="12"/>
      <c r="B27" s="13"/>
      <c r="C27" t="s" s="10">
        <v>36</v>
      </c>
      <c r="D27" s="11">
        <v>0</v>
      </c>
      <c r="E27" s="11">
        <v>2</v>
      </c>
      <c r="F27" s="11">
        <v>5</v>
      </c>
      <c r="G27" s="11">
        <v>0</v>
      </c>
      <c r="H27" s="11">
        <v>0</v>
      </c>
    </row>
    <row r="28" ht="20.05" customHeight="1">
      <c r="A28" s="12"/>
      <c r="B28" s="13"/>
      <c r="C28" t="s" s="10">
        <v>37</v>
      </c>
      <c r="D28" s="11">
        <v>1</v>
      </c>
      <c r="E28" s="11">
        <v>6</v>
      </c>
      <c r="F28" s="11">
        <v>6</v>
      </c>
      <c r="G28" s="11">
        <v>0</v>
      </c>
      <c r="H28" s="11">
        <v>0</v>
      </c>
    </row>
    <row r="29" ht="20.05" customHeight="1">
      <c r="A29" s="12"/>
      <c r="B29" s="13"/>
      <c r="C29" t="s" s="10">
        <v>38</v>
      </c>
      <c r="D29" s="11">
        <v>2</v>
      </c>
      <c r="E29" s="11">
        <v>5</v>
      </c>
      <c r="F29" s="11">
        <v>7</v>
      </c>
      <c r="G29" s="11">
        <v>1</v>
      </c>
      <c r="H29" s="11">
        <v>0</v>
      </c>
    </row>
    <row r="30" ht="8.15" customHeight="1">
      <c r="A30" s="12"/>
      <c r="B30" s="13"/>
      <c r="C30" t="s" s="10">
        <v>39</v>
      </c>
      <c r="D30" s="11">
        <v>1</v>
      </c>
      <c r="E30" s="11">
        <v>2</v>
      </c>
      <c r="F30" s="11">
        <v>8</v>
      </c>
      <c r="G30" s="11">
        <v>0</v>
      </c>
      <c r="H30" s="11">
        <v>1</v>
      </c>
    </row>
    <row r="31" ht="8" customHeight="1">
      <c r="A31" s="12"/>
      <c r="B31" s="13"/>
      <c r="C31" s="14"/>
      <c r="D31" s="14"/>
      <c r="E31" s="14"/>
      <c r="F31" s="14"/>
      <c r="G31" s="14"/>
      <c r="H31" s="14"/>
    </row>
    <row r="32" ht="8.15" customHeight="1">
      <c r="A32" s="12"/>
      <c r="B32" s="13"/>
      <c r="C32" s="14"/>
      <c r="D32" s="14"/>
      <c r="E32" s="14"/>
      <c r="F32" s="14"/>
      <c r="G32" s="14"/>
      <c r="H32" s="14"/>
    </row>
    <row r="33" ht="20.05" customHeight="1">
      <c r="A33" s="12"/>
      <c r="B33" t="s" s="9">
        <v>40</v>
      </c>
      <c r="C33" t="s" s="10">
        <v>41</v>
      </c>
      <c r="D33" s="11">
        <v>1</v>
      </c>
      <c r="E33" s="11">
        <v>2</v>
      </c>
      <c r="F33" s="11">
        <v>5</v>
      </c>
      <c r="G33" s="11">
        <v>0</v>
      </c>
      <c r="H33" s="11">
        <v>1</v>
      </c>
    </row>
    <row r="34" ht="20.05" customHeight="1">
      <c r="A34" s="12"/>
      <c r="B34" s="13"/>
      <c r="C34" t="s" s="10">
        <v>42</v>
      </c>
      <c r="D34" s="11">
        <v>0</v>
      </c>
      <c r="E34" s="11">
        <v>0</v>
      </c>
      <c r="F34" s="11">
        <v>2</v>
      </c>
      <c r="G34" s="11">
        <v>0</v>
      </c>
      <c r="H34" s="11">
        <v>0</v>
      </c>
    </row>
    <row r="35" ht="20.05" customHeight="1">
      <c r="A35" s="12"/>
      <c r="B35" s="13"/>
      <c r="C35" t="s" s="10">
        <v>43</v>
      </c>
      <c r="D35" s="11">
        <v>1</v>
      </c>
      <c r="E35" s="11">
        <v>2</v>
      </c>
      <c r="F35" s="11">
        <v>2</v>
      </c>
      <c r="G35" s="11">
        <v>0</v>
      </c>
      <c r="H35" s="11">
        <v>1</v>
      </c>
    </row>
    <row r="36" ht="20.05" customHeight="1">
      <c r="A36" s="12"/>
      <c r="B36" s="13"/>
      <c r="C36" t="s" s="10">
        <v>44</v>
      </c>
      <c r="D36" s="11">
        <v>1</v>
      </c>
      <c r="E36" s="11">
        <v>2</v>
      </c>
      <c r="F36" s="11">
        <v>5</v>
      </c>
      <c r="G36" s="11">
        <v>1</v>
      </c>
      <c r="H36" s="11">
        <v>1</v>
      </c>
    </row>
    <row r="37" ht="20.05" customHeight="1">
      <c r="A37" s="12"/>
      <c r="B37" s="13"/>
      <c r="C37" t="s" s="10">
        <v>45</v>
      </c>
      <c r="D37" s="11">
        <v>0</v>
      </c>
      <c r="E37" s="11">
        <v>0</v>
      </c>
      <c r="F37" s="11">
        <v>3</v>
      </c>
      <c r="G37" s="11">
        <v>0</v>
      </c>
      <c r="H37" s="11">
        <v>0</v>
      </c>
    </row>
    <row r="38" ht="20.05" customHeight="1">
      <c r="A38" s="12"/>
      <c r="B38" s="13"/>
      <c r="C38" t="s" s="10">
        <v>46</v>
      </c>
      <c r="D38" s="11">
        <v>0</v>
      </c>
      <c r="E38" s="11">
        <v>0</v>
      </c>
      <c r="F38" s="11">
        <v>2</v>
      </c>
      <c r="G38" s="11">
        <v>0</v>
      </c>
      <c r="H38" s="11">
        <v>1</v>
      </c>
    </row>
    <row r="39" ht="20.05" customHeight="1">
      <c r="A39" s="12"/>
      <c r="B39" t="s" s="9">
        <v>47</v>
      </c>
      <c r="C39" t="s" s="10">
        <v>48</v>
      </c>
      <c r="D39" s="11">
        <v>1</v>
      </c>
      <c r="E39" s="11">
        <v>4</v>
      </c>
      <c r="F39" s="11">
        <v>0</v>
      </c>
      <c r="G39" s="11">
        <v>0</v>
      </c>
      <c r="H39" s="11">
        <v>1</v>
      </c>
    </row>
    <row r="40" ht="20.05" customHeight="1">
      <c r="A40" s="12"/>
      <c r="B40" s="13"/>
      <c r="C40" t="s" s="10">
        <v>49</v>
      </c>
      <c r="D40" s="11">
        <v>0</v>
      </c>
      <c r="E40" s="11">
        <v>5</v>
      </c>
      <c r="F40" s="11">
        <v>1</v>
      </c>
      <c r="G40" s="11">
        <v>0</v>
      </c>
      <c r="H40" s="11">
        <v>0</v>
      </c>
    </row>
    <row r="41" ht="20.05" customHeight="1">
      <c r="A41" t="s" s="15">
        <v>50</v>
      </c>
      <c r="B41" t="s" s="16">
        <v>51</v>
      </c>
      <c r="C41" t="s" s="17">
        <v>52</v>
      </c>
      <c r="D41" s="18">
        <v>1</v>
      </c>
      <c r="E41" s="18">
        <v>7</v>
      </c>
      <c r="F41" s="18">
        <v>8</v>
      </c>
      <c r="G41" s="18">
        <v>0</v>
      </c>
      <c r="H41" s="18">
        <v>1</v>
      </c>
    </row>
    <row r="42" ht="20.05" customHeight="1">
      <c r="A42" s="12"/>
      <c r="B42" s="13"/>
      <c r="C42" t="s" s="17">
        <v>53</v>
      </c>
      <c r="D42" s="18">
        <v>0</v>
      </c>
      <c r="E42" s="18">
        <v>3</v>
      </c>
      <c r="F42" s="18">
        <v>5</v>
      </c>
      <c r="G42" s="18">
        <v>0</v>
      </c>
      <c r="H42" s="18">
        <v>0</v>
      </c>
    </row>
    <row r="43" ht="20.05" customHeight="1">
      <c r="A43" s="12"/>
      <c r="B43" t="s" s="16">
        <v>54</v>
      </c>
      <c r="C43" t="s" s="17">
        <v>55</v>
      </c>
      <c r="D43" s="18">
        <v>1</v>
      </c>
      <c r="E43" s="18">
        <v>2</v>
      </c>
      <c r="F43" s="18">
        <v>5</v>
      </c>
      <c r="G43" s="18">
        <v>0</v>
      </c>
      <c r="H43" s="18">
        <v>0</v>
      </c>
    </row>
    <row r="44" ht="20.05" customHeight="1">
      <c r="A44" s="12"/>
      <c r="B44" s="13"/>
      <c r="C44" t="s" s="17">
        <v>56</v>
      </c>
      <c r="D44" s="18">
        <v>0</v>
      </c>
      <c r="E44" s="18">
        <v>0</v>
      </c>
      <c r="F44" s="18">
        <v>3</v>
      </c>
      <c r="G44" s="18">
        <v>0</v>
      </c>
      <c r="H44" s="18">
        <v>0</v>
      </c>
    </row>
    <row r="45" ht="23.95" customHeight="1">
      <c r="A45" s="12"/>
      <c r="B45" t="s" s="16">
        <v>57</v>
      </c>
      <c r="C45" t="s" s="17">
        <v>58</v>
      </c>
      <c r="D45" s="18">
        <v>1</v>
      </c>
      <c r="E45" s="18">
        <v>5</v>
      </c>
      <c r="F45" s="18">
        <v>10</v>
      </c>
      <c r="G45" s="18">
        <v>0</v>
      </c>
      <c r="H45" s="18">
        <v>1</v>
      </c>
    </row>
    <row r="46" ht="20.05" customHeight="1">
      <c r="A46" s="12"/>
      <c r="B46" t="s" s="16">
        <v>59</v>
      </c>
      <c r="C46" t="s" s="17">
        <v>60</v>
      </c>
      <c r="D46" s="18">
        <v>1</v>
      </c>
      <c r="E46" s="18">
        <v>2</v>
      </c>
      <c r="F46" s="18">
        <v>3</v>
      </c>
      <c r="G46" s="18">
        <v>1</v>
      </c>
      <c r="H46" s="18">
        <v>0</v>
      </c>
    </row>
    <row r="47" ht="20.05" customHeight="1">
      <c r="A47" s="12"/>
      <c r="B47" s="13"/>
      <c r="C47" t="s" s="17">
        <v>61</v>
      </c>
      <c r="D47" s="18">
        <v>1</v>
      </c>
      <c r="E47" s="18">
        <v>6</v>
      </c>
      <c r="F47" s="18">
        <v>6</v>
      </c>
      <c r="G47" s="18">
        <v>1</v>
      </c>
      <c r="H47" s="18">
        <v>1</v>
      </c>
    </row>
    <row r="48" ht="20.05" customHeight="1">
      <c r="A48" s="12"/>
      <c r="B48" s="13"/>
      <c r="C48" t="s" s="17">
        <v>62</v>
      </c>
      <c r="D48" s="18">
        <v>1</v>
      </c>
      <c r="E48" s="18">
        <v>10</v>
      </c>
      <c r="F48" s="18">
        <v>5</v>
      </c>
      <c r="G48" s="18">
        <v>0</v>
      </c>
      <c r="H48" s="18">
        <v>1</v>
      </c>
    </row>
    <row r="49" ht="20.05" customHeight="1">
      <c r="A49" s="12"/>
      <c r="B49" s="13"/>
      <c r="C49" t="s" s="17">
        <v>63</v>
      </c>
      <c r="D49" s="18">
        <v>1</v>
      </c>
      <c r="E49" s="18">
        <v>2</v>
      </c>
      <c r="F49" s="18">
        <v>2</v>
      </c>
      <c r="G49" s="18">
        <v>0</v>
      </c>
      <c r="H49" s="18">
        <v>0</v>
      </c>
    </row>
    <row r="50" ht="20.05" customHeight="1">
      <c r="A50" s="12"/>
      <c r="B50" s="13"/>
      <c r="C50" t="s" s="17">
        <v>64</v>
      </c>
      <c r="D50" s="18">
        <v>2</v>
      </c>
      <c r="E50" s="18">
        <v>5</v>
      </c>
      <c r="F50" s="18">
        <v>0</v>
      </c>
      <c r="G50" s="18">
        <v>0</v>
      </c>
      <c r="H50" s="18">
        <v>0</v>
      </c>
    </row>
    <row r="51" ht="20.05" customHeight="1">
      <c r="A51" s="12"/>
      <c r="B51" s="13"/>
      <c r="C51" t="s" s="17">
        <v>65</v>
      </c>
      <c r="D51" s="18">
        <v>0</v>
      </c>
      <c r="E51" s="18">
        <v>2</v>
      </c>
      <c r="F51" s="18">
        <v>3</v>
      </c>
      <c r="G51" s="18">
        <v>0</v>
      </c>
      <c r="H51" s="18">
        <v>0</v>
      </c>
    </row>
    <row r="52" ht="20.05" customHeight="1">
      <c r="A52" s="12"/>
      <c r="B52" t="s" s="16">
        <v>66</v>
      </c>
      <c r="C52" t="s" s="17">
        <v>67</v>
      </c>
      <c r="D52" s="18">
        <v>0</v>
      </c>
      <c r="E52" s="18">
        <v>6</v>
      </c>
      <c r="F52" s="18">
        <v>0</v>
      </c>
      <c r="G52" s="18">
        <v>0</v>
      </c>
      <c r="H52" s="18">
        <v>0</v>
      </c>
    </row>
    <row r="53" ht="20.05" customHeight="1">
      <c r="A53" s="12"/>
      <c r="B53" s="13"/>
      <c r="C53" t="s" s="17">
        <v>68</v>
      </c>
      <c r="D53" s="18">
        <v>0</v>
      </c>
      <c r="E53" s="18">
        <v>0</v>
      </c>
      <c r="F53" s="18">
        <v>3</v>
      </c>
      <c r="G53" s="18">
        <v>0</v>
      </c>
      <c r="H53" s="18">
        <v>0</v>
      </c>
    </row>
    <row r="54" ht="20.05" customHeight="1">
      <c r="A54" s="12"/>
      <c r="B54" t="s" s="16">
        <v>69</v>
      </c>
      <c r="C54" t="s" s="17">
        <v>70</v>
      </c>
      <c r="D54" s="18">
        <v>1</v>
      </c>
      <c r="E54" s="18">
        <v>2</v>
      </c>
      <c r="F54" s="18">
        <v>5</v>
      </c>
      <c r="G54" s="18">
        <v>0</v>
      </c>
      <c r="H54" s="18">
        <v>0</v>
      </c>
    </row>
    <row r="55" ht="20.05" customHeight="1">
      <c r="A55" s="12"/>
      <c r="B55" s="13"/>
      <c r="C55" t="s" s="17">
        <v>71</v>
      </c>
      <c r="D55" s="18">
        <v>0</v>
      </c>
      <c r="E55" s="18">
        <v>2</v>
      </c>
      <c r="F55" s="18">
        <v>2</v>
      </c>
      <c r="G55" s="18">
        <v>0</v>
      </c>
      <c r="H55" s="18">
        <v>0</v>
      </c>
    </row>
    <row r="56" ht="20.05" customHeight="1">
      <c r="A56" s="12"/>
      <c r="B56" t="s" s="16">
        <v>72</v>
      </c>
      <c r="C56" t="s" s="17">
        <v>73</v>
      </c>
      <c r="D56" s="18">
        <v>0</v>
      </c>
      <c r="E56" s="18">
        <v>19</v>
      </c>
      <c r="F56" s="18">
        <v>3</v>
      </c>
      <c r="G56" s="18">
        <v>0</v>
      </c>
      <c r="H56" s="18">
        <v>0</v>
      </c>
    </row>
    <row r="57" ht="20.05" customHeight="1">
      <c r="A57" s="12"/>
      <c r="B57" s="13"/>
      <c r="C57" t="s" s="17">
        <v>74</v>
      </c>
      <c r="D57" s="18">
        <v>0</v>
      </c>
      <c r="E57" s="18">
        <v>3</v>
      </c>
      <c r="F57" s="18">
        <v>2</v>
      </c>
      <c r="G57" s="18">
        <v>0</v>
      </c>
      <c r="H57" s="18">
        <v>0</v>
      </c>
    </row>
    <row r="58" ht="20.05" customHeight="1">
      <c r="A58" s="12"/>
      <c r="B58" s="13"/>
      <c r="C58" t="s" s="17">
        <v>75</v>
      </c>
      <c r="D58" s="18">
        <v>0</v>
      </c>
      <c r="E58" s="18">
        <v>1</v>
      </c>
      <c r="F58" s="18">
        <v>1</v>
      </c>
      <c r="G58" s="18">
        <v>0</v>
      </c>
      <c r="H58" s="18">
        <v>0</v>
      </c>
    </row>
    <row r="59" ht="20.05" customHeight="1">
      <c r="A59" s="12"/>
      <c r="B59" s="13"/>
      <c r="C59" t="s" s="17">
        <v>76</v>
      </c>
      <c r="D59" s="18">
        <v>0</v>
      </c>
      <c r="E59" s="18">
        <v>2</v>
      </c>
      <c r="F59" s="18">
        <v>2</v>
      </c>
      <c r="G59" s="18">
        <v>0</v>
      </c>
      <c r="H59" s="18">
        <v>0</v>
      </c>
    </row>
    <row r="60" ht="20.05" customHeight="1">
      <c r="A60" t="s" s="19">
        <v>77</v>
      </c>
      <c r="B60" t="s" s="20">
        <v>78</v>
      </c>
      <c r="C60" t="s" s="21">
        <v>79</v>
      </c>
      <c r="D60" s="22">
        <v>0</v>
      </c>
      <c r="E60" s="22">
        <v>11</v>
      </c>
      <c r="F60" s="23">
        <v>0</v>
      </c>
      <c r="G60" s="22">
        <v>0</v>
      </c>
      <c r="H60" s="22">
        <v>0</v>
      </c>
    </row>
    <row r="61" ht="20.05" customHeight="1">
      <c r="A61" s="12"/>
      <c r="B61" s="13"/>
      <c r="C61" t="s" s="21">
        <v>80</v>
      </c>
      <c r="D61" s="22">
        <v>0</v>
      </c>
      <c r="E61" s="22">
        <v>6</v>
      </c>
      <c r="F61" s="23">
        <v>0</v>
      </c>
      <c r="G61" s="22">
        <v>0</v>
      </c>
      <c r="H61" s="22">
        <v>0</v>
      </c>
    </row>
    <row r="62" ht="20.05" customHeight="1">
      <c r="A62" s="12"/>
      <c r="B62" s="13"/>
      <c r="C62" t="s" s="21">
        <v>81</v>
      </c>
      <c r="D62" s="22">
        <v>0</v>
      </c>
      <c r="E62" s="22">
        <v>18</v>
      </c>
      <c r="F62" s="23">
        <v>0</v>
      </c>
      <c r="G62" s="22">
        <v>0</v>
      </c>
      <c r="H62" s="22">
        <v>0</v>
      </c>
    </row>
    <row r="63" ht="32.05" customHeight="1">
      <c r="A63" s="12"/>
      <c r="B63" t="s" s="20">
        <v>82</v>
      </c>
      <c r="C63" t="s" s="21">
        <v>83</v>
      </c>
      <c r="D63" s="22">
        <v>0</v>
      </c>
      <c r="E63" s="22">
        <v>5</v>
      </c>
      <c r="F63" s="23">
        <v>0</v>
      </c>
      <c r="G63" s="22">
        <v>0</v>
      </c>
      <c r="H63" s="22">
        <v>0</v>
      </c>
    </row>
    <row r="64" ht="20.05" customHeight="1">
      <c r="A64" s="12"/>
      <c r="B64" t="s" s="20">
        <v>84</v>
      </c>
      <c r="C64" t="s" s="21">
        <v>85</v>
      </c>
      <c r="D64" s="22">
        <v>0</v>
      </c>
      <c r="E64" s="22">
        <v>2</v>
      </c>
      <c r="F64" s="23">
        <v>0</v>
      </c>
      <c r="G64" s="22">
        <v>0</v>
      </c>
      <c r="H64" s="22">
        <v>0</v>
      </c>
    </row>
    <row r="65" ht="20.05" customHeight="1">
      <c r="A65" s="12"/>
      <c r="B65" s="13"/>
      <c r="C65" t="s" s="21">
        <v>86</v>
      </c>
      <c r="D65" s="22">
        <v>0</v>
      </c>
      <c r="E65" s="22">
        <v>3</v>
      </c>
      <c r="F65" s="23">
        <v>0</v>
      </c>
      <c r="G65" s="22">
        <v>0</v>
      </c>
      <c r="H65" s="22">
        <v>0</v>
      </c>
    </row>
    <row r="66" ht="20.05" customHeight="1">
      <c r="A66" s="12"/>
      <c r="B66" s="13"/>
      <c r="C66" t="s" s="24">
        <v>87</v>
      </c>
      <c r="D66" s="25">
        <v>0</v>
      </c>
      <c r="E66" s="25">
        <v>2</v>
      </c>
      <c r="F66" s="23">
        <v>0</v>
      </c>
      <c r="G66" s="25">
        <v>0</v>
      </c>
      <c r="H66" s="25">
        <v>0</v>
      </c>
    </row>
    <row r="67" ht="20.05" customHeight="1">
      <c r="A67" s="12"/>
      <c r="B67" s="13"/>
      <c r="C67" t="s" s="24">
        <v>88</v>
      </c>
      <c r="D67" s="25">
        <v>0</v>
      </c>
      <c r="E67" s="25">
        <v>2</v>
      </c>
      <c r="F67" s="23">
        <v>0</v>
      </c>
      <c r="G67" s="25">
        <v>0</v>
      </c>
      <c r="H67" s="25">
        <v>0</v>
      </c>
    </row>
    <row r="68" ht="20.05" customHeight="1">
      <c r="A68" s="12"/>
      <c r="B68" t="s" s="20">
        <v>89</v>
      </c>
      <c r="C68" t="s" s="21">
        <v>90</v>
      </c>
      <c r="D68" s="22">
        <v>0</v>
      </c>
      <c r="E68" s="22">
        <v>4</v>
      </c>
      <c r="F68" s="23">
        <v>0</v>
      </c>
      <c r="G68" s="22">
        <v>0</v>
      </c>
      <c r="H68" s="22">
        <v>0</v>
      </c>
    </row>
    <row r="69" ht="20.05" customHeight="1">
      <c r="A69" s="12"/>
      <c r="B69" s="13"/>
      <c r="C69" t="s" s="21">
        <v>91</v>
      </c>
      <c r="D69" s="22">
        <v>0</v>
      </c>
      <c r="E69" s="22">
        <v>2</v>
      </c>
      <c r="F69" s="23">
        <v>0</v>
      </c>
      <c r="G69" s="22">
        <v>0</v>
      </c>
      <c r="H69" s="22">
        <v>0</v>
      </c>
    </row>
    <row r="70" ht="23.95" customHeight="1">
      <c r="A70" t="s" s="26">
        <v>92</v>
      </c>
      <c r="B70" t="s" s="27">
        <v>93</v>
      </c>
      <c r="C70" t="s" s="28">
        <v>93</v>
      </c>
      <c r="D70" s="29">
        <v>1</v>
      </c>
      <c r="E70" s="29">
        <v>2</v>
      </c>
      <c r="F70" s="29">
        <v>8</v>
      </c>
      <c r="G70" s="29">
        <v>1</v>
      </c>
      <c r="H70" s="29">
        <v>1</v>
      </c>
    </row>
    <row r="71" ht="23.95" customHeight="1">
      <c r="A71" s="12"/>
      <c r="B71" t="s" s="27">
        <v>94</v>
      </c>
      <c r="C71" t="s" s="28">
        <v>94</v>
      </c>
      <c r="D71" s="29">
        <v>0</v>
      </c>
      <c r="E71" s="29">
        <v>2</v>
      </c>
      <c r="F71" s="29">
        <v>5</v>
      </c>
      <c r="G71" s="29">
        <v>0</v>
      </c>
      <c r="H71" s="29">
        <v>0</v>
      </c>
    </row>
    <row r="72" ht="23.95" customHeight="1">
      <c r="A72" s="12"/>
      <c r="B72" t="s" s="27">
        <v>95</v>
      </c>
      <c r="C72" t="s" s="28">
        <v>95</v>
      </c>
      <c r="D72" s="29">
        <v>1</v>
      </c>
      <c r="E72" s="29">
        <v>11</v>
      </c>
      <c r="F72" s="29">
        <v>5</v>
      </c>
      <c r="G72" s="29">
        <v>1</v>
      </c>
      <c r="H72" s="29">
        <v>1</v>
      </c>
    </row>
    <row r="73" ht="23.95" customHeight="1">
      <c r="A73" s="12"/>
      <c r="B73" t="s" s="27">
        <v>96</v>
      </c>
      <c r="C73" t="s" s="28">
        <v>96</v>
      </c>
      <c r="D73" s="29">
        <v>0</v>
      </c>
      <c r="E73" s="29">
        <v>3</v>
      </c>
      <c r="F73" s="29">
        <v>2</v>
      </c>
      <c r="G73" s="29">
        <v>0</v>
      </c>
      <c r="H73" s="29">
        <v>0</v>
      </c>
    </row>
    <row r="74" ht="23.95" customHeight="1">
      <c r="A74" s="12"/>
      <c r="B74" t="s" s="27">
        <v>97</v>
      </c>
      <c r="C74" t="s" s="28">
        <v>97</v>
      </c>
      <c r="D74" s="29">
        <v>1</v>
      </c>
      <c r="E74" s="29">
        <v>3</v>
      </c>
      <c r="F74" s="29">
        <v>6</v>
      </c>
      <c r="G74" s="29">
        <v>0</v>
      </c>
      <c r="H74" s="29">
        <v>0</v>
      </c>
    </row>
    <row r="75" ht="23.95" customHeight="1">
      <c r="A75" s="12"/>
      <c r="B75" t="s" s="27">
        <v>98</v>
      </c>
      <c r="C75" t="s" s="28">
        <v>98</v>
      </c>
      <c r="D75" s="29">
        <v>0</v>
      </c>
      <c r="E75" s="29">
        <v>3</v>
      </c>
      <c r="F75" s="29">
        <v>5</v>
      </c>
      <c r="G75" s="29">
        <v>0</v>
      </c>
      <c r="H75" s="29">
        <v>1</v>
      </c>
    </row>
    <row r="76" ht="23.95" customHeight="1">
      <c r="A76" s="12"/>
      <c r="B76" t="s" s="27">
        <v>99</v>
      </c>
      <c r="C76" t="s" s="28">
        <v>100</v>
      </c>
      <c r="D76" s="29">
        <v>0</v>
      </c>
      <c r="E76" s="29">
        <v>3</v>
      </c>
      <c r="F76" s="29">
        <v>3</v>
      </c>
      <c r="G76" s="29">
        <v>0</v>
      </c>
      <c r="H76" s="29">
        <v>0</v>
      </c>
    </row>
    <row r="77" ht="23.95" customHeight="1">
      <c r="A77" s="12"/>
      <c r="B77" t="s" s="27">
        <v>101</v>
      </c>
      <c r="C77" t="s" s="28">
        <v>101</v>
      </c>
      <c r="D77" s="29">
        <v>0</v>
      </c>
      <c r="E77" s="29">
        <v>2</v>
      </c>
      <c r="F77" s="29">
        <v>2</v>
      </c>
      <c r="G77" s="29">
        <v>0</v>
      </c>
      <c r="H77" s="29">
        <v>0</v>
      </c>
    </row>
    <row r="78" ht="23.95" customHeight="1">
      <c r="A78" s="12"/>
      <c r="B78" t="s" s="27">
        <v>102</v>
      </c>
      <c r="C78" t="s" s="28">
        <v>102</v>
      </c>
      <c r="D78" s="29">
        <v>0</v>
      </c>
      <c r="E78" s="29">
        <v>4</v>
      </c>
      <c r="F78" s="29">
        <v>2</v>
      </c>
      <c r="G78" s="29">
        <v>0</v>
      </c>
      <c r="H78" s="29">
        <v>0</v>
      </c>
    </row>
    <row r="79" ht="23.95" customHeight="1">
      <c r="A79" s="12"/>
      <c r="B79" t="s" s="27">
        <v>103</v>
      </c>
      <c r="C79" t="s" s="28">
        <v>103</v>
      </c>
      <c r="D79" s="29">
        <v>0</v>
      </c>
      <c r="E79" s="29">
        <v>3</v>
      </c>
      <c r="F79" s="29">
        <v>2</v>
      </c>
      <c r="G79" s="29">
        <v>0</v>
      </c>
      <c r="H79" s="29">
        <v>0</v>
      </c>
    </row>
    <row r="80" ht="20.05" customHeight="1">
      <c r="A80" t="s" s="30">
        <v>104</v>
      </c>
      <c r="B80" t="s" s="31">
        <v>105</v>
      </c>
      <c r="C80" t="s" s="32">
        <v>106</v>
      </c>
      <c r="D80" s="33">
        <v>1</v>
      </c>
      <c r="E80" s="33">
        <v>5</v>
      </c>
      <c r="F80" s="33">
        <v>5</v>
      </c>
      <c r="G80" s="33">
        <v>0</v>
      </c>
      <c r="H80" s="33">
        <v>1</v>
      </c>
    </row>
    <row r="81" ht="20.05" customHeight="1">
      <c r="A81" s="12"/>
      <c r="B81" s="13"/>
      <c r="C81" t="s" s="32">
        <v>107</v>
      </c>
      <c r="D81" s="33">
        <v>0</v>
      </c>
      <c r="E81" s="33">
        <v>5</v>
      </c>
      <c r="F81" s="33">
        <v>2</v>
      </c>
      <c r="G81" s="33">
        <v>1</v>
      </c>
      <c r="H81" s="33">
        <v>1</v>
      </c>
    </row>
    <row r="82" ht="20.05" customHeight="1">
      <c r="A82" s="12"/>
      <c r="B82" s="13"/>
      <c r="C82" t="s" s="34">
        <v>108</v>
      </c>
      <c r="D82" s="35">
        <v>1</v>
      </c>
      <c r="E82" s="35">
        <v>6</v>
      </c>
      <c r="F82" s="35">
        <v>5</v>
      </c>
      <c r="G82" s="35">
        <v>0</v>
      </c>
      <c r="H82" s="35">
        <v>1</v>
      </c>
    </row>
    <row r="83" ht="20.05" customHeight="1">
      <c r="A83" s="12"/>
      <c r="B83" s="13"/>
      <c r="C83" t="s" s="34">
        <v>109</v>
      </c>
      <c r="D83" s="35">
        <v>0</v>
      </c>
      <c r="E83" s="25">
        <v>2</v>
      </c>
      <c r="F83" s="25">
        <v>4</v>
      </c>
      <c r="G83" s="35">
        <v>0</v>
      </c>
      <c r="H83" s="35">
        <v>1</v>
      </c>
    </row>
    <row r="84" ht="20.05" customHeight="1">
      <c r="A84" s="12"/>
      <c r="B84" s="13"/>
      <c r="C84" t="s" s="32">
        <v>110</v>
      </c>
      <c r="D84" s="33">
        <v>0</v>
      </c>
      <c r="E84" s="33">
        <v>6</v>
      </c>
      <c r="F84" s="33">
        <v>5</v>
      </c>
      <c r="G84" s="33">
        <v>0</v>
      </c>
      <c r="H84" s="33">
        <v>0</v>
      </c>
    </row>
    <row r="85" ht="20.05" customHeight="1">
      <c r="A85" s="12"/>
      <c r="B85" s="13"/>
      <c r="C85" t="s" s="32">
        <v>111</v>
      </c>
      <c r="D85" s="33">
        <v>1</v>
      </c>
      <c r="E85" s="33">
        <v>4</v>
      </c>
      <c r="F85" s="33">
        <v>14</v>
      </c>
      <c r="G85" s="33">
        <v>0</v>
      </c>
      <c r="H85" s="33">
        <v>0</v>
      </c>
    </row>
    <row r="86" ht="20.05" customHeight="1">
      <c r="A86" s="12"/>
      <c r="B86" s="13"/>
      <c r="C86" t="s" s="32">
        <v>112</v>
      </c>
      <c r="D86" s="33">
        <v>0</v>
      </c>
      <c r="E86" s="33">
        <v>2</v>
      </c>
      <c r="F86" s="33">
        <v>5</v>
      </c>
      <c r="G86" s="33">
        <v>0</v>
      </c>
      <c r="H86" s="33">
        <v>0</v>
      </c>
    </row>
    <row r="87" ht="20.05" customHeight="1">
      <c r="A87" s="12"/>
      <c r="B87" s="13"/>
      <c r="C87" t="s" s="32">
        <v>113</v>
      </c>
      <c r="D87" s="33">
        <v>2</v>
      </c>
      <c r="E87" s="33">
        <v>11</v>
      </c>
      <c r="F87" s="33">
        <v>1</v>
      </c>
      <c r="G87" s="33">
        <v>0</v>
      </c>
      <c r="H87" s="33">
        <v>0</v>
      </c>
    </row>
    <row r="88" ht="20.05" customHeight="1">
      <c r="A88" s="12"/>
      <c r="B88" t="s" s="31">
        <v>114</v>
      </c>
      <c r="C88" t="s" s="32">
        <v>115</v>
      </c>
      <c r="D88" s="33">
        <v>0</v>
      </c>
      <c r="E88" s="33">
        <v>11</v>
      </c>
      <c r="F88" s="33">
        <v>1</v>
      </c>
      <c r="G88" s="33">
        <v>0</v>
      </c>
      <c r="H88" s="33">
        <v>0</v>
      </c>
    </row>
    <row r="89" ht="20.05" customHeight="1">
      <c r="A89" s="12"/>
      <c r="B89" s="13"/>
      <c r="C89" t="s" s="32">
        <v>116</v>
      </c>
      <c r="D89" s="33">
        <v>0</v>
      </c>
      <c r="E89" s="33">
        <v>7</v>
      </c>
      <c r="F89" s="33">
        <v>2</v>
      </c>
      <c r="G89" s="33">
        <v>0</v>
      </c>
      <c r="H89" s="33">
        <v>0</v>
      </c>
    </row>
    <row r="90" ht="20.05" customHeight="1">
      <c r="A90" s="12"/>
      <c r="B90" t="s" s="31">
        <v>117</v>
      </c>
      <c r="C90" t="s" s="32">
        <v>118</v>
      </c>
      <c r="D90" s="33">
        <v>0</v>
      </c>
      <c r="E90" s="33">
        <v>4</v>
      </c>
      <c r="F90" s="33">
        <v>4</v>
      </c>
      <c r="G90" s="33">
        <v>0</v>
      </c>
      <c r="H90" s="33">
        <v>1</v>
      </c>
    </row>
    <row r="91" ht="32.05" customHeight="1">
      <c r="A91" s="12"/>
      <c r="B91" s="13"/>
      <c r="C91" t="s" s="32">
        <v>119</v>
      </c>
      <c r="D91" s="33">
        <v>0</v>
      </c>
      <c r="E91" s="33">
        <v>1</v>
      </c>
      <c r="F91" s="33">
        <v>3</v>
      </c>
      <c r="G91" s="33">
        <v>0</v>
      </c>
      <c r="H91" s="33">
        <v>0</v>
      </c>
    </row>
    <row r="92" ht="20.05" customHeight="1">
      <c r="A92" s="12"/>
      <c r="B92" t="s" s="31">
        <v>120</v>
      </c>
      <c r="C92" t="s" s="32">
        <v>121</v>
      </c>
      <c r="D92" s="33">
        <v>0</v>
      </c>
      <c r="E92" s="33">
        <v>3</v>
      </c>
      <c r="F92" s="33">
        <v>2</v>
      </c>
      <c r="G92" s="33">
        <v>0</v>
      </c>
      <c r="H92" s="33">
        <v>0</v>
      </c>
    </row>
    <row r="93" ht="20.05" customHeight="1">
      <c r="A93" s="12"/>
      <c r="B93" s="13"/>
      <c r="C93" t="s" s="32">
        <v>122</v>
      </c>
      <c r="D93" s="33">
        <v>1</v>
      </c>
      <c r="E93" s="33">
        <v>2</v>
      </c>
      <c r="F93" s="33">
        <v>1</v>
      </c>
      <c r="G93" s="33">
        <v>0</v>
      </c>
      <c r="H93" s="33">
        <v>0</v>
      </c>
    </row>
    <row r="94" ht="20.05" customHeight="1">
      <c r="A94" s="12"/>
      <c r="B94" s="13"/>
      <c r="C94" t="s" s="32">
        <v>123</v>
      </c>
      <c r="D94" s="33">
        <v>1</v>
      </c>
      <c r="E94" s="33">
        <v>2</v>
      </c>
      <c r="F94" s="33">
        <v>5</v>
      </c>
      <c r="G94" s="33">
        <v>0</v>
      </c>
      <c r="H94" s="33">
        <v>0</v>
      </c>
    </row>
    <row r="95" ht="20.05" customHeight="1">
      <c r="A95" s="12"/>
      <c r="B95" s="13"/>
      <c r="C95" t="s" s="32">
        <v>124</v>
      </c>
      <c r="D95" s="33">
        <v>1</v>
      </c>
      <c r="E95" s="33">
        <v>8</v>
      </c>
      <c r="F95" s="33">
        <v>9</v>
      </c>
      <c r="G95" s="33">
        <v>0</v>
      </c>
      <c r="H95" s="33">
        <v>1</v>
      </c>
    </row>
    <row r="96" ht="20.05" customHeight="1">
      <c r="A96" s="12"/>
      <c r="B96" s="13"/>
      <c r="C96" t="s" s="32">
        <v>125</v>
      </c>
      <c r="D96" s="33">
        <v>0</v>
      </c>
      <c r="E96" s="33">
        <v>7</v>
      </c>
      <c r="F96" s="33">
        <v>5</v>
      </c>
      <c r="G96" s="33">
        <v>0</v>
      </c>
      <c r="H96" s="33">
        <v>0</v>
      </c>
    </row>
    <row r="97" ht="32.05" customHeight="1">
      <c r="A97" s="12"/>
      <c r="B97" s="13"/>
      <c r="C97" t="s" s="32">
        <v>126</v>
      </c>
      <c r="D97" s="33">
        <v>0</v>
      </c>
      <c r="E97" s="33">
        <v>13</v>
      </c>
      <c r="F97" s="33">
        <v>4</v>
      </c>
      <c r="G97" s="33">
        <v>0</v>
      </c>
      <c r="H97" s="33">
        <v>0</v>
      </c>
    </row>
    <row r="98" ht="23.95" customHeight="1">
      <c r="A98" s="12"/>
      <c r="B98" t="s" s="31">
        <v>127</v>
      </c>
      <c r="C98" t="s" s="32">
        <v>127</v>
      </c>
      <c r="D98" s="33">
        <v>0</v>
      </c>
      <c r="E98" s="33">
        <v>7</v>
      </c>
      <c r="F98" s="33">
        <v>4</v>
      </c>
      <c r="G98" s="33">
        <v>0</v>
      </c>
      <c r="H98" s="33">
        <v>0</v>
      </c>
    </row>
    <row r="99" ht="32.05" customHeight="1">
      <c r="A99" s="12"/>
      <c r="B99" t="s" s="31">
        <v>128</v>
      </c>
      <c r="C99" t="s" s="32">
        <v>129</v>
      </c>
      <c r="D99" s="33">
        <v>0</v>
      </c>
      <c r="E99" s="33">
        <v>2</v>
      </c>
      <c r="F99" s="33">
        <v>1</v>
      </c>
      <c r="G99" s="33">
        <v>0</v>
      </c>
      <c r="H99" s="33">
        <v>0</v>
      </c>
    </row>
    <row r="100" ht="20.05" customHeight="1">
      <c r="A100" s="12"/>
      <c r="B100" s="13"/>
      <c r="C100" t="s" s="32">
        <v>130</v>
      </c>
      <c r="D100" s="33">
        <v>0</v>
      </c>
      <c r="E100" s="33">
        <v>2</v>
      </c>
      <c r="F100" s="33">
        <v>3</v>
      </c>
      <c r="G100" s="33">
        <v>0</v>
      </c>
      <c r="H100" s="33">
        <v>0</v>
      </c>
    </row>
    <row r="101" ht="20.05" customHeight="1">
      <c r="A101" s="12"/>
      <c r="B101" s="13"/>
      <c r="C101" t="s" s="32">
        <v>131</v>
      </c>
      <c r="D101" s="33">
        <v>0</v>
      </c>
      <c r="E101" s="33">
        <v>6</v>
      </c>
      <c r="F101" s="33">
        <v>2</v>
      </c>
      <c r="G101" s="33">
        <v>0</v>
      </c>
      <c r="H101" s="33">
        <v>0</v>
      </c>
    </row>
    <row r="102" ht="20.05" customHeight="1">
      <c r="A102" s="12"/>
      <c r="B102" s="13"/>
      <c r="C102" t="s" s="32">
        <v>132</v>
      </c>
      <c r="D102" s="33">
        <v>0</v>
      </c>
      <c r="E102" s="33">
        <v>6</v>
      </c>
      <c r="F102" s="33">
        <v>2</v>
      </c>
      <c r="G102" s="33">
        <v>0</v>
      </c>
      <c r="H102" s="33">
        <v>0</v>
      </c>
    </row>
    <row r="103" ht="23.95" customHeight="1">
      <c r="A103" t="s" s="36">
        <v>133</v>
      </c>
      <c r="B103" t="s" s="37">
        <v>134</v>
      </c>
      <c r="C103" t="s" s="38">
        <v>134</v>
      </c>
      <c r="D103" s="39">
        <v>1</v>
      </c>
      <c r="E103" s="39">
        <v>2</v>
      </c>
      <c r="F103" s="39">
        <v>12</v>
      </c>
      <c r="G103" s="39">
        <v>0</v>
      </c>
      <c r="H103" s="39">
        <v>1</v>
      </c>
    </row>
    <row r="104" ht="23.95" customHeight="1">
      <c r="A104" s="12"/>
      <c r="B104" t="s" s="37">
        <v>135</v>
      </c>
      <c r="C104" t="s" s="38">
        <v>135</v>
      </c>
      <c r="D104" s="39">
        <v>0</v>
      </c>
      <c r="E104" s="39">
        <v>6</v>
      </c>
      <c r="F104" s="39">
        <v>4</v>
      </c>
      <c r="G104" s="39">
        <v>0</v>
      </c>
      <c r="H104" s="39">
        <v>0</v>
      </c>
    </row>
    <row r="105" ht="23.95" customHeight="1">
      <c r="A105" s="12"/>
      <c r="B105" t="s" s="37">
        <v>136</v>
      </c>
      <c r="C105" t="s" s="38">
        <v>136</v>
      </c>
      <c r="D105" s="39">
        <v>2</v>
      </c>
      <c r="E105" s="39">
        <v>4</v>
      </c>
      <c r="F105" s="39">
        <v>2</v>
      </c>
      <c r="G105" s="39">
        <v>0</v>
      </c>
      <c r="H105" s="39">
        <v>0</v>
      </c>
    </row>
    <row r="106" ht="23.95" customHeight="1">
      <c r="A106" s="12"/>
      <c r="B106" t="s" s="37">
        <v>137</v>
      </c>
      <c r="C106" t="s" s="38">
        <v>138</v>
      </c>
      <c r="D106" s="39">
        <v>0</v>
      </c>
      <c r="E106" s="39">
        <v>5</v>
      </c>
      <c r="F106" s="39">
        <v>3</v>
      </c>
      <c r="G106" s="39">
        <v>0</v>
      </c>
      <c r="H106" s="39">
        <v>0</v>
      </c>
    </row>
    <row r="107" ht="32.05" customHeight="1">
      <c r="A107" s="12"/>
      <c r="B107" t="s" s="37">
        <v>139</v>
      </c>
      <c r="C107" t="s" s="38">
        <v>140</v>
      </c>
      <c r="D107" s="39">
        <v>3</v>
      </c>
      <c r="E107" s="39">
        <v>5</v>
      </c>
      <c r="F107" s="39">
        <v>4</v>
      </c>
      <c r="G107" s="39">
        <v>1</v>
      </c>
      <c r="H107" s="39">
        <v>0</v>
      </c>
    </row>
    <row r="108" ht="20.05" customHeight="1">
      <c r="A108" s="12"/>
      <c r="B108" t="s" s="37">
        <v>141</v>
      </c>
      <c r="C108" t="s" s="38">
        <v>142</v>
      </c>
      <c r="D108" s="39">
        <v>0</v>
      </c>
      <c r="E108" s="39">
        <v>4</v>
      </c>
      <c r="F108" s="39">
        <v>1</v>
      </c>
      <c r="G108" s="39">
        <v>1</v>
      </c>
      <c r="H108" s="39">
        <v>1</v>
      </c>
    </row>
    <row r="109" ht="20.05" customHeight="1">
      <c r="A109" s="12"/>
      <c r="B109" s="13"/>
      <c r="C109" t="s" s="38">
        <v>143</v>
      </c>
      <c r="D109" s="39">
        <v>0</v>
      </c>
      <c r="E109" s="39">
        <v>5</v>
      </c>
      <c r="F109" s="39">
        <v>2</v>
      </c>
      <c r="G109" s="39">
        <v>0</v>
      </c>
      <c r="H109" s="39">
        <v>0</v>
      </c>
    </row>
    <row r="110" ht="20.05" customHeight="1">
      <c r="A110" s="12"/>
      <c r="B110" s="13"/>
      <c r="C110" t="s" s="38">
        <v>144</v>
      </c>
      <c r="D110" s="39">
        <v>0</v>
      </c>
      <c r="E110" s="39">
        <v>3</v>
      </c>
      <c r="F110" s="39">
        <v>1</v>
      </c>
      <c r="G110" s="39">
        <v>0</v>
      </c>
      <c r="H110" s="39">
        <v>0</v>
      </c>
    </row>
    <row r="111" ht="20.05" customHeight="1">
      <c r="A111" s="12"/>
      <c r="B111" s="13"/>
      <c r="C111" t="s" s="38">
        <v>145</v>
      </c>
      <c r="D111" s="39">
        <v>1</v>
      </c>
      <c r="E111" s="39">
        <v>3</v>
      </c>
      <c r="F111" s="39">
        <v>2</v>
      </c>
      <c r="G111" s="39">
        <v>0</v>
      </c>
      <c r="H111" s="39">
        <v>0</v>
      </c>
    </row>
    <row r="112" ht="20.05" customHeight="1">
      <c r="A112" s="12"/>
      <c r="B112" s="13"/>
      <c r="C112" t="s" s="38">
        <v>146</v>
      </c>
      <c r="D112" s="39">
        <v>0</v>
      </c>
      <c r="E112" s="39">
        <v>2</v>
      </c>
      <c r="F112" s="39">
        <v>2</v>
      </c>
      <c r="G112" s="39">
        <v>0</v>
      </c>
      <c r="H112" s="39">
        <v>0</v>
      </c>
    </row>
    <row r="113" ht="20.05" customHeight="1">
      <c r="A113" s="12"/>
      <c r="B113" s="13"/>
      <c r="C113" t="s" s="38">
        <v>147</v>
      </c>
      <c r="D113" s="39">
        <v>0</v>
      </c>
      <c r="E113" s="39">
        <v>2</v>
      </c>
      <c r="F113" s="39">
        <v>1</v>
      </c>
      <c r="G113" s="39">
        <v>0</v>
      </c>
      <c r="H113" s="39">
        <v>0</v>
      </c>
    </row>
    <row r="114" ht="23.95" customHeight="1">
      <c r="A114" s="12"/>
      <c r="B114" t="s" s="37">
        <v>148</v>
      </c>
      <c r="C114" t="s" s="38">
        <v>148</v>
      </c>
      <c r="D114" s="39">
        <v>1</v>
      </c>
      <c r="E114" s="39">
        <v>15</v>
      </c>
      <c r="F114" s="39">
        <v>5</v>
      </c>
      <c r="G114" s="39">
        <v>0</v>
      </c>
      <c r="H114" s="39">
        <v>0</v>
      </c>
    </row>
    <row r="115" ht="23.95" customHeight="1">
      <c r="A115" s="12"/>
      <c r="B115" t="s" s="37">
        <v>149</v>
      </c>
      <c r="C115" t="s" s="38">
        <v>149</v>
      </c>
      <c r="D115" s="39">
        <v>0</v>
      </c>
      <c r="E115" s="39">
        <v>8</v>
      </c>
      <c r="F115" s="39">
        <v>0</v>
      </c>
      <c r="G115" s="39">
        <v>0</v>
      </c>
      <c r="H115" s="39">
        <v>0</v>
      </c>
    </row>
    <row r="116" ht="23.95" customHeight="1">
      <c r="A116" s="12"/>
      <c r="B116" t="s" s="37">
        <v>150</v>
      </c>
      <c r="C116" t="s" s="38">
        <v>150</v>
      </c>
      <c r="D116" s="39">
        <v>0</v>
      </c>
      <c r="E116" s="39">
        <v>7</v>
      </c>
      <c r="F116" s="39">
        <v>2</v>
      </c>
      <c r="G116" s="39">
        <v>0</v>
      </c>
      <c r="H116" s="39">
        <v>0</v>
      </c>
    </row>
    <row r="117" ht="20.05" customHeight="1">
      <c r="A117" s="12"/>
      <c r="B117" t="s" s="37">
        <v>151</v>
      </c>
      <c r="C117" t="s" s="38">
        <v>152</v>
      </c>
      <c r="D117" s="39">
        <v>0</v>
      </c>
      <c r="E117" s="39">
        <v>1</v>
      </c>
      <c r="F117" s="39">
        <v>0</v>
      </c>
      <c r="G117" s="39">
        <v>0</v>
      </c>
      <c r="H117" s="39">
        <v>0</v>
      </c>
    </row>
    <row r="118" ht="20.05" customHeight="1">
      <c r="A118" s="12"/>
      <c r="B118" s="13"/>
      <c r="C118" t="s" s="38">
        <v>153</v>
      </c>
      <c r="D118" s="39">
        <v>0</v>
      </c>
      <c r="E118" s="39">
        <v>0</v>
      </c>
      <c r="F118" s="39">
        <v>1</v>
      </c>
      <c r="G118" s="39">
        <v>0</v>
      </c>
      <c r="H118" s="39">
        <v>0</v>
      </c>
    </row>
    <row r="119" ht="20.05" customHeight="1">
      <c r="A119" s="12"/>
      <c r="B119" s="13"/>
      <c r="C119" t="s" s="38">
        <v>154</v>
      </c>
      <c r="D119" s="39">
        <v>0</v>
      </c>
      <c r="E119" s="39">
        <v>4</v>
      </c>
      <c r="F119" s="39">
        <v>0</v>
      </c>
      <c r="G119" s="39">
        <v>0</v>
      </c>
      <c r="H119" s="39">
        <v>0</v>
      </c>
    </row>
    <row r="120" ht="23.95" customHeight="1">
      <c r="A120" s="12"/>
      <c r="B120" t="s" s="37">
        <v>155</v>
      </c>
      <c r="C120" t="s" s="38">
        <v>156</v>
      </c>
      <c r="D120" s="39">
        <v>0</v>
      </c>
      <c r="E120" s="39">
        <v>7</v>
      </c>
      <c r="F120" s="39">
        <v>3</v>
      </c>
      <c r="G120" s="39">
        <v>0</v>
      </c>
      <c r="H120" s="39">
        <v>0</v>
      </c>
    </row>
    <row r="121" ht="20.05" customHeight="1">
      <c r="A121" t="s" s="40">
        <v>157</v>
      </c>
      <c r="B121" t="s" s="41">
        <v>158</v>
      </c>
      <c r="C121" t="s" s="42">
        <v>159</v>
      </c>
      <c r="D121" s="43">
        <v>0</v>
      </c>
      <c r="E121" s="43">
        <v>3</v>
      </c>
      <c r="F121" s="43">
        <v>5</v>
      </c>
      <c r="G121" s="43">
        <v>0</v>
      </c>
      <c r="H121" s="43">
        <v>1</v>
      </c>
    </row>
    <row r="122" ht="32.05" customHeight="1">
      <c r="A122" s="12"/>
      <c r="B122" s="13"/>
      <c r="C122" t="s" s="42">
        <v>160</v>
      </c>
      <c r="D122" s="43">
        <v>1</v>
      </c>
      <c r="E122" s="43">
        <v>3</v>
      </c>
      <c r="F122" s="43">
        <v>5</v>
      </c>
      <c r="G122" s="43">
        <v>0</v>
      </c>
      <c r="H122" s="43">
        <v>0</v>
      </c>
    </row>
    <row r="123" ht="20.05" customHeight="1">
      <c r="A123" s="12"/>
      <c r="B123" s="13"/>
      <c r="C123" t="s" s="42">
        <v>161</v>
      </c>
      <c r="D123" s="43">
        <v>1</v>
      </c>
      <c r="E123" s="43">
        <v>2</v>
      </c>
      <c r="F123" s="43">
        <v>8</v>
      </c>
      <c r="G123" s="43">
        <v>0</v>
      </c>
      <c r="H123" s="43">
        <v>0</v>
      </c>
    </row>
    <row r="124" ht="20.05" customHeight="1">
      <c r="A124" s="12"/>
      <c r="B124" s="13"/>
      <c r="C124" t="s" s="42">
        <v>162</v>
      </c>
      <c r="D124" s="43">
        <v>1</v>
      </c>
      <c r="E124" s="43">
        <v>1</v>
      </c>
      <c r="F124" s="43">
        <v>3</v>
      </c>
      <c r="G124" s="43">
        <v>0</v>
      </c>
      <c r="H124" s="43">
        <v>0</v>
      </c>
    </row>
    <row r="125" ht="20.05" customHeight="1">
      <c r="A125" s="12"/>
      <c r="B125" s="13"/>
      <c r="C125" t="s" s="42">
        <v>163</v>
      </c>
      <c r="D125" s="43">
        <v>1</v>
      </c>
      <c r="E125" s="43">
        <v>1</v>
      </c>
      <c r="F125" s="43">
        <v>2</v>
      </c>
      <c r="G125" s="43">
        <v>0</v>
      </c>
      <c r="H125" s="43">
        <v>0</v>
      </c>
    </row>
    <row r="126" ht="20.05" customHeight="1">
      <c r="A126" s="12"/>
      <c r="B126" s="13"/>
      <c r="C126" t="s" s="42">
        <v>164</v>
      </c>
      <c r="D126" s="43">
        <v>0</v>
      </c>
      <c r="E126" s="43">
        <v>2</v>
      </c>
      <c r="F126" s="43">
        <v>3</v>
      </c>
      <c r="G126" s="43">
        <v>1</v>
      </c>
      <c r="H126" s="43">
        <v>0</v>
      </c>
    </row>
    <row r="127" ht="20.05" customHeight="1">
      <c r="A127" s="12"/>
      <c r="B127" s="13"/>
      <c r="C127" t="s" s="42">
        <v>165</v>
      </c>
      <c r="D127" s="43">
        <v>1</v>
      </c>
      <c r="E127" s="43">
        <v>2</v>
      </c>
      <c r="F127" s="43">
        <v>5</v>
      </c>
      <c r="G127" s="43">
        <v>0</v>
      </c>
      <c r="H127" s="43">
        <v>1</v>
      </c>
    </row>
    <row r="128" ht="23.95" customHeight="1">
      <c r="A128" s="12"/>
      <c r="B128" t="s" s="41">
        <v>166</v>
      </c>
      <c r="C128" t="s" s="42">
        <v>166</v>
      </c>
      <c r="D128" s="43">
        <v>0</v>
      </c>
      <c r="E128" s="43">
        <v>2</v>
      </c>
      <c r="F128" s="43">
        <v>3</v>
      </c>
      <c r="G128" s="43">
        <v>0</v>
      </c>
      <c r="H128" s="43">
        <v>0</v>
      </c>
    </row>
    <row r="129" ht="23.95" customHeight="1">
      <c r="A129" s="12"/>
      <c r="B129" t="s" s="41">
        <v>167</v>
      </c>
      <c r="C129" t="s" s="42">
        <v>168</v>
      </c>
      <c r="D129" s="43">
        <v>0</v>
      </c>
      <c r="E129" s="43">
        <v>0</v>
      </c>
      <c r="F129" s="43">
        <v>2</v>
      </c>
      <c r="G129" s="43">
        <v>0</v>
      </c>
      <c r="H129" s="43">
        <v>0</v>
      </c>
    </row>
    <row r="130" ht="20.05" customHeight="1">
      <c r="A130" s="12"/>
      <c r="B130" t="s" s="41">
        <v>169</v>
      </c>
      <c r="C130" t="s" s="42">
        <v>170</v>
      </c>
      <c r="D130" s="43">
        <v>0</v>
      </c>
      <c r="E130" s="43">
        <v>3</v>
      </c>
      <c r="F130" s="43">
        <v>3</v>
      </c>
      <c r="G130" s="43">
        <v>0</v>
      </c>
      <c r="H130" s="43">
        <v>1</v>
      </c>
    </row>
    <row r="131" ht="20.05" customHeight="1">
      <c r="A131" s="12"/>
      <c r="B131" s="13"/>
      <c r="C131" t="s" s="42">
        <v>171</v>
      </c>
      <c r="D131" s="43">
        <v>1</v>
      </c>
      <c r="E131" s="43">
        <v>3</v>
      </c>
      <c r="F131" s="43">
        <v>2</v>
      </c>
      <c r="G131" s="43">
        <v>0</v>
      </c>
      <c r="H131" s="43">
        <v>0</v>
      </c>
    </row>
    <row r="132" ht="20.05" customHeight="1">
      <c r="A132" s="12"/>
      <c r="B132" s="13"/>
      <c r="C132" t="s" s="42">
        <v>172</v>
      </c>
      <c r="D132" s="43">
        <v>1</v>
      </c>
      <c r="E132" s="43">
        <v>3</v>
      </c>
      <c r="F132" s="43">
        <v>5</v>
      </c>
      <c r="G132" s="43">
        <v>0</v>
      </c>
      <c r="H132" s="43">
        <v>0</v>
      </c>
    </row>
    <row r="133" ht="20.05" customHeight="1">
      <c r="A133" s="12"/>
      <c r="B133" s="13"/>
      <c r="C133" t="s" s="42">
        <v>173</v>
      </c>
      <c r="D133" s="43">
        <v>0</v>
      </c>
      <c r="E133" s="43">
        <v>1</v>
      </c>
      <c r="F133" s="43">
        <v>5</v>
      </c>
      <c r="G133" s="43">
        <v>0</v>
      </c>
      <c r="H133" s="43">
        <v>0</v>
      </c>
    </row>
    <row r="134" ht="20.05" customHeight="1">
      <c r="A134" s="12"/>
      <c r="B134" s="13"/>
      <c r="C134" t="s" s="42">
        <v>174</v>
      </c>
      <c r="D134" s="43">
        <v>0</v>
      </c>
      <c r="E134" s="43">
        <v>3</v>
      </c>
      <c r="F134" s="43">
        <v>0</v>
      </c>
      <c r="G134" s="43">
        <v>0</v>
      </c>
      <c r="H134" s="43">
        <v>0</v>
      </c>
    </row>
    <row r="135" ht="20.05" customHeight="1">
      <c r="A135" s="12"/>
      <c r="B135" t="s" s="41">
        <v>175</v>
      </c>
      <c r="C135" t="s" s="42">
        <v>176</v>
      </c>
      <c r="D135" s="43">
        <v>0</v>
      </c>
      <c r="E135" s="43">
        <v>1</v>
      </c>
      <c r="F135" s="43">
        <v>2</v>
      </c>
      <c r="G135" s="43">
        <v>0</v>
      </c>
      <c r="H135" s="43">
        <v>0</v>
      </c>
    </row>
    <row r="136" ht="20.05" customHeight="1">
      <c r="A136" s="12"/>
      <c r="B136" s="13"/>
      <c r="C136" t="s" s="42">
        <v>177</v>
      </c>
      <c r="D136" s="43">
        <v>0</v>
      </c>
      <c r="E136" s="43">
        <v>7</v>
      </c>
      <c r="F136" s="43">
        <v>3</v>
      </c>
      <c r="G136" s="43">
        <v>0</v>
      </c>
      <c r="H136" s="43">
        <v>0</v>
      </c>
    </row>
    <row r="137" ht="20.05" customHeight="1">
      <c r="A137" s="12"/>
      <c r="B137" s="13"/>
      <c r="C137" t="s" s="42">
        <v>178</v>
      </c>
      <c r="D137" s="43">
        <v>0</v>
      </c>
      <c r="E137" s="43">
        <v>6</v>
      </c>
      <c r="F137" s="43">
        <v>5</v>
      </c>
      <c r="G137" s="43">
        <v>0</v>
      </c>
      <c r="H137" s="43">
        <v>0</v>
      </c>
    </row>
    <row r="138" ht="32.05" customHeight="1">
      <c r="A138" s="12"/>
      <c r="B138" t="s" s="41">
        <v>179</v>
      </c>
      <c r="C138" t="s" s="42">
        <v>180</v>
      </c>
      <c r="D138" s="43">
        <v>0</v>
      </c>
      <c r="E138" s="43">
        <v>0</v>
      </c>
      <c r="F138" s="43">
        <v>2</v>
      </c>
      <c r="G138" s="43">
        <v>0</v>
      </c>
      <c r="H138" s="43">
        <v>0</v>
      </c>
    </row>
    <row r="139" ht="32.05" customHeight="1">
      <c r="A139" s="12"/>
      <c r="B139" s="13"/>
      <c r="C139" t="s" s="42">
        <v>181</v>
      </c>
      <c r="D139" s="43">
        <v>0</v>
      </c>
      <c r="E139" s="43">
        <v>0</v>
      </c>
      <c r="F139" s="43">
        <v>1</v>
      </c>
      <c r="G139" s="43">
        <v>0</v>
      </c>
      <c r="H139" s="43">
        <v>0</v>
      </c>
    </row>
    <row r="140" ht="20.05" customHeight="1">
      <c r="A140" s="12"/>
      <c r="B140" s="13"/>
      <c r="C140" t="s" s="42">
        <v>182</v>
      </c>
      <c r="D140" s="43">
        <v>0</v>
      </c>
      <c r="E140" s="43">
        <v>6</v>
      </c>
      <c r="F140" s="43">
        <v>2</v>
      </c>
      <c r="G140" s="43">
        <v>0</v>
      </c>
      <c r="H140" s="43">
        <v>0</v>
      </c>
    </row>
    <row r="141" ht="20.05" customHeight="1">
      <c r="A141" s="12"/>
      <c r="B141" s="13"/>
      <c r="C141" t="s" s="42">
        <v>183</v>
      </c>
      <c r="D141" s="43">
        <v>0</v>
      </c>
      <c r="E141" s="43">
        <v>1</v>
      </c>
      <c r="F141" s="43">
        <v>0</v>
      </c>
      <c r="G141" s="43">
        <v>0</v>
      </c>
      <c r="H141" s="43">
        <v>0</v>
      </c>
    </row>
    <row r="142" ht="23.95" customHeight="1">
      <c r="A142" s="12"/>
      <c r="B142" t="s" s="41">
        <v>184</v>
      </c>
      <c r="C142" t="s" s="42">
        <v>184</v>
      </c>
      <c r="D142" s="43">
        <v>0</v>
      </c>
      <c r="E142" s="43">
        <v>33</v>
      </c>
      <c r="F142" s="43">
        <v>2</v>
      </c>
      <c r="G142" s="43">
        <v>0</v>
      </c>
      <c r="H142" s="43">
        <v>0</v>
      </c>
    </row>
    <row r="143" ht="20.05" customHeight="1">
      <c r="A143" s="12"/>
      <c r="B143" t="s" s="41">
        <v>185</v>
      </c>
      <c r="C143" t="s" s="42">
        <v>186</v>
      </c>
      <c r="D143" s="43">
        <v>1</v>
      </c>
      <c r="E143" s="43">
        <v>0</v>
      </c>
      <c r="F143" s="43">
        <v>2</v>
      </c>
      <c r="G143" s="43">
        <v>0</v>
      </c>
      <c r="H143" s="43">
        <v>0</v>
      </c>
    </row>
    <row r="144" ht="20.05" customHeight="1">
      <c r="A144" s="12"/>
      <c r="B144" s="13"/>
      <c r="C144" t="s" s="42">
        <v>187</v>
      </c>
      <c r="D144" s="43">
        <v>1</v>
      </c>
      <c r="E144" s="43">
        <v>4</v>
      </c>
      <c r="F144" s="43">
        <v>0</v>
      </c>
      <c r="G144" s="43">
        <v>0</v>
      </c>
      <c r="H144" s="43">
        <v>0</v>
      </c>
    </row>
    <row r="145" ht="20.05" customHeight="1">
      <c r="A145" s="12"/>
      <c r="B145" s="13"/>
      <c r="C145" t="s" s="42">
        <v>188</v>
      </c>
      <c r="D145" s="43">
        <v>1</v>
      </c>
      <c r="E145" s="43">
        <v>4</v>
      </c>
      <c r="F145" s="43">
        <v>0</v>
      </c>
      <c r="G145" s="43">
        <v>0</v>
      </c>
      <c r="H145" s="43">
        <v>0</v>
      </c>
    </row>
    <row r="146" ht="20.05" customHeight="1">
      <c r="A146" s="12"/>
      <c r="B146" s="13"/>
      <c r="C146" t="s" s="42">
        <v>189</v>
      </c>
      <c r="D146" s="43">
        <v>0</v>
      </c>
      <c r="E146" s="43">
        <v>1</v>
      </c>
      <c r="F146" s="43">
        <v>2</v>
      </c>
      <c r="G146" s="43">
        <v>0</v>
      </c>
      <c r="H146" s="43">
        <v>0</v>
      </c>
    </row>
    <row r="147" ht="20.05" customHeight="1">
      <c r="A147" s="12"/>
      <c r="B147" s="13"/>
      <c r="C147" t="s" s="42">
        <v>190</v>
      </c>
      <c r="D147" s="43">
        <v>0</v>
      </c>
      <c r="E147" s="43">
        <v>8</v>
      </c>
      <c r="F147" s="43">
        <v>2</v>
      </c>
      <c r="G147" s="43">
        <v>0</v>
      </c>
      <c r="H147" s="43">
        <v>0</v>
      </c>
    </row>
    <row r="148" ht="23.95" customHeight="1">
      <c r="A148" s="12"/>
      <c r="B148" t="s" s="41">
        <v>191</v>
      </c>
      <c r="C148" t="s" s="42">
        <v>192</v>
      </c>
      <c r="D148" s="43">
        <v>0</v>
      </c>
      <c r="E148" s="43">
        <v>4</v>
      </c>
      <c r="F148" s="43">
        <v>5</v>
      </c>
      <c r="G148" s="43">
        <v>0</v>
      </c>
      <c r="H148" s="43">
        <v>0</v>
      </c>
    </row>
    <row r="149" ht="32.05" customHeight="1">
      <c r="A149" s="12"/>
      <c r="B149" t="s" s="41">
        <v>193</v>
      </c>
      <c r="C149" t="s" s="42">
        <v>194</v>
      </c>
      <c r="D149" s="43">
        <v>0</v>
      </c>
      <c r="E149" s="43">
        <v>7</v>
      </c>
      <c r="F149" s="43">
        <v>3</v>
      </c>
      <c r="G149" s="43">
        <v>0</v>
      </c>
      <c r="H149" s="43">
        <v>0</v>
      </c>
    </row>
    <row r="150" ht="20.05" customHeight="1">
      <c r="A150" s="12"/>
      <c r="B150" t="s" s="41">
        <v>195</v>
      </c>
      <c r="C150" t="s" s="42">
        <v>196</v>
      </c>
      <c r="D150" s="43">
        <v>1</v>
      </c>
      <c r="E150" s="43">
        <v>5</v>
      </c>
      <c r="F150" s="43">
        <v>9</v>
      </c>
      <c r="G150" s="43">
        <v>1</v>
      </c>
      <c r="H150" s="43">
        <v>1</v>
      </c>
    </row>
    <row r="151" ht="20.05" customHeight="1">
      <c r="A151" s="12"/>
      <c r="B151" s="13"/>
      <c r="C151" t="s" s="42">
        <v>197</v>
      </c>
      <c r="D151" s="43">
        <v>0</v>
      </c>
      <c r="E151" s="43">
        <v>6</v>
      </c>
      <c r="F151" s="43">
        <v>3</v>
      </c>
      <c r="G151" s="43">
        <v>0</v>
      </c>
      <c r="H151" s="43">
        <v>0</v>
      </c>
    </row>
    <row r="152" ht="20.05" customHeight="1">
      <c r="A152" s="12"/>
      <c r="B152" s="13"/>
      <c r="C152" t="s" s="42">
        <v>198</v>
      </c>
      <c r="D152" s="43">
        <v>0</v>
      </c>
      <c r="E152" s="43">
        <v>8</v>
      </c>
      <c r="F152" s="43">
        <v>2</v>
      </c>
      <c r="G152" s="43">
        <v>0</v>
      </c>
      <c r="H152" s="43">
        <v>0</v>
      </c>
    </row>
    <row r="153" ht="20.05" customHeight="1">
      <c r="A153" t="s" s="44">
        <v>199</v>
      </c>
      <c r="B153" t="s" s="45">
        <v>200</v>
      </c>
      <c r="C153" t="s" s="46">
        <v>201</v>
      </c>
      <c r="D153" s="47">
        <v>0</v>
      </c>
      <c r="E153" s="47">
        <v>5</v>
      </c>
      <c r="F153" s="47">
        <v>3</v>
      </c>
      <c r="G153" s="47">
        <v>0</v>
      </c>
      <c r="H153" s="47">
        <v>0</v>
      </c>
    </row>
    <row r="154" ht="20.05" customHeight="1">
      <c r="A154" s="12"/>
      <c r="B154" s="13"/>
      <c r="C154" t="s" s="46">
        <v>202</v>
      </c>
      <c r="D154" s="47">
        <v>0</v>
      </c>
      <c r="E154" s="47">
        <v>11</v>
      </c>
      <c r="F154" s="47">
        <v>3</v>
      </c>
      <c r="G154" s="47">
        <v>0</v>
      </c>
      <c r="H154" s="47">
        <v>0</v>
      </c>
    </row>
    <row r="155" ht="20.05" customHeight="1">
      <c r="A155" s="12"/>
      <c r="B155" s="13"/>
      <c r="C155" t="s" s="46">
        <v>203</v>
      </c>
      <c r="D155" s="47">
        <v>0</v>
      </c>
      <c r="E155" s="47">
        <v>1</v>
      </c>
      <c r="F155" s="47">
        <v>0</v>
      </c>
      <c r="G155" s="47">
        <v>0</v>
      </c>
      <c r="H155" s="47">
        <v>0</v>
      </c>
    </row>
    <row r="156" ht="20.05" customHeight="1">
      <c r="A156" s="12"/>
      <c r="B156" s="13"/>
      <c r="C156" t="s" s="48">
        <v>204</v>
      </c>
      <c r="D156" s="47">
        <v>0</v>
      </c>
      <c r="E156" s="47">
        <v>30</v>
      </c>
      <c r="F156" s="47">
        <v>3</v>
      </c>
      <c r="G156" s="47">
        <v>0</v>
      </c>
      <c r="H156" s="47">
        <v>0</v>
      </c>
    </row>
    <row r="157" ht="20.05" customHeight="1">
      <c r="A157" s="12"/>
      <c r="B157" s="13"/>
      <c r="C157" t="s" s="46">
        <v>205</v>
      </c>
      <c r="D157" s="47">
        <v>0</v>
      </c>
      <c r="E157" s="47">
        <v>3</v>
      </c>
      <c r="F157" s="47">
        <v>6</v>
      </c>
      <c r="G157" s="47">
        <v>0</v>
      </c>
      <c r="H157" s="47">
        <v>0</v>
      </c>
    </row>
    <row r="158" ht="22.95" customHeight="1">
      <c r="A158" s="12"/>
      <c r="B158" t="s" s="45">
        <v>206</v>
      </c>
      <c r="C158" t="s" s="49">
        <v>206</v>
      </c>
      <c r="D158" s="47">
        <v>1</v>
      </c>
      <c r="E158" s="47">
        <v>2</v>
      </c>
      <c r="F158" s="47">
        <v>3</v>
      </c>
      <c r="G158" s="47">
        <v>0</v>
      </c>
      <c r="H158" s="47">
        <v>0</v>
      </c>
    </row>
    <row r="159" ht="20.05" customHeight="1">
      <c r="A159" s="12"/>
      <c r="B159" t="s" s="45">
        <v>207</v>
      </c>
      <c r="C159" t="s" s="46">
        <v>207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</row>
    <row r="160" ht="20.05" customHeight="1">
      <c r="A160" s="12"/>
      <c r="B160" s="13"/>
      <c r="C160" t="s" s="46">
        <v>208</v>
      </c>
      <c r="D160" s="47">
        <v>0</v>
      </c>
      <c r="E160" s="47">
        <v>12</v>
      </c>
      <c r="F160" s="47">
        <v>2</v>
      </c>
      <c r="G160" s="47">
        <v>0</v>
      </c>
      <c r="H160" s="47">
        <v>0</v>
      </c>
    </row>
    <row r="161" ht="20.05" customHeight="1">
      <c r="A161" s="12"/>
      <c r="B161" t="s" s="45">
        <v>209</v>
      </c>
      <c r="C161" t="s" s="46">
        <v>210</v>
      </c>
      <c r="D161" s="47">
        <v>0</v>
      </c>
      <c r="E161" s="47">
        <v>7</v>
      </c>
      <c r="F161" s="47">
        <v>2</v>
      </c>
      <c r="G161" s="47">
        <v>0</v>
      </c>
      <c r="H161" s="47">
        <v>0</v>
      </c>
    </row>
    <row r="162" ht="20.05" customHeight="1">
      <c r="A162" s="12"/>
      <c r="B162" s="13"/>
      <c r="C162" t="s" s="46">
        <v>211</v>
      </c>
      <c r="D162" s="47">
        <v>1</v>
      </c>
      <c r="E162" s="47">
        <v>8</v>
      </c>
      <c r="F162" s="47">
        <v>2</v>
      </c>
      <c r="G162" s="47">
        <v>0</v>
      </c>
      <c r="H162" s="47">
        <v>1</v>
      </c>
    </row>
    <row r="163" ht="22.95" customHeight="1">
      <c r="A163" s="12"/>
      <c r="B163" t="s" s="45">
        <v>212</v>
      </c>
      <c r="C163" t="s" s="49">
        <v>212</v>
      </c>
      <c r="D163" s="47">
        <v>0</v>
      </c>
      <c r="E163" s="47">
        <v>1</v>
      </c>
      <c r="F163" s="47">
        <v>1</v>
      </c>
      <c r="G163" s="47">
        <v>0</v>
      </c>
      <c r="H163" s="47">
        <v>0</v>
      </c>
    </row>
    <row r="164" ht="20.05" customHeight="1">
      <c r="A164" s="12"/>
      <c r="B164" t="s" s="45">
        <v>213</v>
      </c>
      <c r="C164" t="s" s="46">
        <v>214</v>
      </c>
      <c r="D164" s="47">
        <v>0</v>
      </c>
      <c r="E164" s="47">
        <v>0</v>
      </c>
      <c r="F164" s="47">
        <v>2</v>
      </c>
      <c r="G164" s="47">
        <v>0</v>
      </c>
      <c r="H164" s="47">
        <v>0</v>
      </c>
    </row>
    <row r="165" ht="20.05" customHeight="1">
      <c r="A165" s="12"/>
      <c r="B165" s="13"/>
      <c r="C165" t="s" s="46">
        <v>215</v>
      </c>
      <c r="D165" s="47">
        <v>0</v>
      </c>
      <c r="E165" s="47">
        <v>1</v>
      </c>
      <c r="F165" s="47">
        <v>0</v>
      </c>
      <c r="G165" s="47">
        <v>0</v>
      </c>
      <c r="H165" s="47">
        <v>0</v>
      </c>
    </row>
    <row r="166" ht="20.05" customHeight="1">
      <c r="A166" s="12"/>
      <c r="B166" t="s" s="45">
        <v>216</v>
      </c>
      <c r="C166" t="s" s="49">
        <v>217</v>
      </c>
      <c r="D166" s="47">
        <v>0</v>
      </c>
      <c r="E166" s="47">
        <v>6</v>
      </c>
      <c r="F166" s="47">
        <v>1</v>
      </c>
      <c r="G166" s="47">
        <v>0</v>
      </c>
      <c r="H166" s="47">
        <v>0</v>
      </c>
    </row>
    <row r="167" ht="20.05" customHeight="1">
      <c r="A167" s="12"/>
      <c r="B167" s="13"/>
      <c r="C167" t="s" s="49">
        <v>218</v>
      </c>
      <c r="D167" s="47">
        <v>0</v>
      </c>
      <c r="E167" s="47">
        <v>5</v>
      </c>
      <c r="F167" s="47">
        <v>3</v>
      </c>
      <c r="G167" s="47">
        <v>0</v>
      </c>
      <c r="H167" s="47">
        <v>0</v>
      </c>
    </row>
    <row r="168" ht="20.05" customHeight="1">
      <c r="A168" s="12"/>
      <c r="B168" s="13"/>
      <c r="C168" t="s" s="49">
        <v>219</v>
      </c>
      <c r="D168" s="47">
        <v>0</v>
      </c>
      <c r="E168" s="47">
        <v>8</v>
      </c>
      <c r="F168" s="47">
        <v>3</v>
      </c>
      <c r="G168" s="47">
        <v>0</v>
      </c>
      <c r="H168" s="47">
        <v>0</v>
      </c>
    </row>
    <row r="169" ht="20.05" customHeight="1">
      <c r="A169" s="12"/>
      <c r="B169" s="13"/>
      <c r="C169" t="s" s="49">
        <v>220</v>
      </c>
      <c r="D169" s="47">
        <v>0</v>
      </c>
      <c r="E169" s="47">
        <v>2</v>
      </c>
      <c r="F169" s="47">
        <v>2</v>
      </c>
      <c r="G169" s="47">
        <v>0</v>
      </c>
      <c r="H169" s="47">
        <v>0</v>
      </c>
    </row>
    <row r="170" ht="20.05" customHeight="1">
      <c r="A170" s="12"/>
      <c r="B170" s="13"/>
      <c r="C170" t="s" s="49">
        <v>221</v>
      </c>
      <c r="D170" s="47">
        <v>0</v>
      </c>
      <c r="E170" s="47">
        <v>9</v>
      </c>
      <c r="F170" s="47">
        <v>6</v>
      </c>
      <c r="G170" s="47">
        <v>0</v>
      </c>
      <c r="H170" s="47">
        <v>0</v>
      </c>
    </row>
    <row r="171" ht="32.05" customHeight="1">
      <c r="A171" s="12"/>
      <c r="B171" s="13"/>
      <c r="C171" t="s" s="49">
        <v>222</v>
      </c>
      <c r="D171" s="47">
        <v>0</v>
      </c>
      <c r="E171" s="47">
        <v>3</v>
      </c>
      <c r="F171" s="47">
        <v>1</v>
      </c>
      <c r="G171" s="47">
        <v>0</v>
      </c>
      <c r="H171" s="47">
        <v>0</v>
      </c>
    </row>
    <row r="172" ht="20.05" customHeight="1">
      <c r="A172" s="12"/>
      <c r="B172" s="13"/>
      <c r="C172" t="s" s="49">
        <v>223</v>
      </c>
      <c r="D172" s="47">
        <v>0</v>
      </c>
      <c r="E172" s="47">
        <v>2</v>
      </c>
      <c r="F172" s="47">
        <v>1</v>
      </c>
      <c r="G172" s="47">
        <v>0</v>
      </c>
      <c r="H172" s="47">
        <v>0</v>
      </c>
    </row>
    <row r="173" ht="22.95" customHeight="1">
      <c r="A173" s="12"/>
      <c r="B173" t="s" s="45">
        <v>224</v>
      </c>
      <c r="C173" t="s" s="46">
        <v>225</v>
      </c>
      <c r="D173" s="47">
        <v>0</v>
      </c>
      <c r="E173" s="47">
        <v>10</v>
      </c>
      <c r="F173" s="47">
        <v>4</v>
      </c>
      <c r="G173" s="47">
        <v>0</v>
      </c>
      <c r="H173" s="47">
        <v>1</v>
      </c>
    </row>
    <row r="174" ht="22.95" customHeight="1">
      <c r="A174" s="12"/>
      <c r="B174" t="s" s="45">
        <v>226</v>
      </c>
      <c r="C174" t="s" s="49">
        <v>226</v>
      </c>
      <c r="D174" s="47">
        <v>0</v>
      </c>
      <c r="E174" s="47">
        <v>2</v>
      </c>
      <c r="F174" s="47">
        <v>1</v>
      </c>
      <c r="G174" s="47">
        <v>0</v>
      </c>
      <c r="H174" s="47">
        <v>0</v>
      </c>
    </row>
    <row r="175" ht="22.95" customHeight="1">
      <c r="A175" s="12"/>
      <c r="B175" t="s" s="45">
        <v>227</v>
      </c>
      <c r="C175" t="s" s="49">
        <v>227</v>
      </c>
      <c r="D175" s="47">
        <v>0</v>
      </c>
      <c r="E175" s="47">
        <v>3</v>
      </c>
      <c r="F175" s="47">
        <v>0</v>
      </c>
      <c r="G175" s="47">
        <v>0</v>
      </c>
      <c r="H175" s="47">
        <v>0</v>
      </c>
    </row>
    <row r="176" ht="20.05" customHeight="1">
      <c r="A176" t="s" s="50">
        <v>228</v>
      </c>
      <c r="B176" t="s" s="51">
        <v>229</v>
      </c>
      <c r="C176" t="s" s="52">
        <v>230</v>
      </c>
      <c r="D176" s="53">
        <v>1</v>
      </c>
      <c r="E176" s="53">
        <v>18</v>
      </c>
      <c r="F176" s="53">
        <v>1</v>
      </c>
      <c r="G176" s="53">
        <v>0</v>
      </c>
      <c r="H176" s="53">
        <v>0</v>
      </c>
    </row>
    <row r="177" ht="20.05" customHeight="1">
      <c r="A177" s="12"/>
      <c r="B177" s="13"/>
      <c r="C177" t="s" s="52">
        <v>231</v>
      </c>
      <c r="D177" s="53">
        <v>0</v>
      </c>
      <c r="E177" s="53">
        <v>2</v>
      </c>
      <c r="F177" s="53">
        <v>0</v>
      </c>
      <c r="G177" s="53">
        <v>0</v>
      </c>
      <c r="H177" s="53">
        <v>0</v>
      </c>
    </row>
    <row r="178" ht="20.05" customHeight="1">
      <c r="A178" s="12"/>
      <c r="B178" s="13"/>
      <c r="C178" t="s" s="52">
        <v>232</v>
      </c>
      <c r="D178" s="53">
        <v>0</v>
      </c>
      <c r="E178" s="53">
        <v>3</v>
      </c>
      <c r="F178" s="53">
        <v>0</v>
      </c>
      <c r="G178" s="53">
        <v>0</v>
      </c>
      <c r="H178" s="53">
        <v>0</v>
      </c>
    </row>
    <row r="179" ht="20.05" customHeight="1">
      <c r="A179" s="12"/>
      <c r="B179" t="s" s="51">
        <v>233</v>
      </c>
      <c r="C179" t="s" s="52">
        <v>233</v>
      </c>
      <c r="D179" s="53">
        <v>1</v>
      </c>
      <c r="E179" s="53">
        <v>20</v>
      </c>
      <c r="F179" s="53">
        <v>2</v>
      </c>
      <c r="G179" s="53">
        <v>0</v>
      </c>
      <c r="H179" s="53">
        <v>0</v>
      </c>
    </row>
    <row r="180" ht="20.05" customHeight="1">
      <c r="A180" s="12"/>
      <c r="B180" s="13"/>
      <c r="C180" t="s" s="52">
        <v>234</v>
      </c>
      <c r="D180" s="53">
        <v>0</v>
      </c>
      <c r="E180" s="53">
        <v>2</v>
      </c>
      <c r="F180" s="53">
        <v>0</v>
      </c>
      <c r="G180" s="53">
        <v>0</v>
      </c>
      <c r="H180" s="53">
        <v>0</v>
      </c>
    </row>
    <row r="181" ht="22.95" customHeight="1">
      <c r="A181" s="12"/>
      <c r="B181" t="s" s="51">
        <v>235</v>
      </c>
      <c r="C181" t="s" s="52">
        <v>235</v>
      </c>
      <c r="D181" s="53">
        <v>0</v>
      </c>
      <c r="E181" s="53">
        <v>7</v>
      </c>
      <c r="F181" s="53">
        <v>0</v>
      </c>
      <c r="G181" s="53">
        <v>0</v>
      </c>
      <c r="H181" s="53">
        <v>0</v>
      </c>
    </row>
    <row r="182" ht="22.95" customHeight="1">
      <c r="A182" s="12"/>
      <c r="B182" t="s" s="51">
        <v>236</v>
      </c>
      <c r="C182" t="s" s="52">
        <v>237</v>
      </c>
      <c r="D182" s="53">
        <v>0</v>
      </c>
      <c r="E182" s="53">
        <v>15</v>
      </c>
      <c r="F182" s="53">
        <v>0</v>
      </c>
      <c r="G182" s="53">
        <v>0</v>
      </c>
      <c r="H182" s="53">
        <v>0</v>
      </c>
    </row>
    <row r="183" ht="22.95" customHeight="1">
      <c r="A183" s="12"/>
      <c r="B183" t="s" s="51">
        <v>238</v>
      </c>
      <c r="C183" t="s" s="52">
        <v>238</v>
      </c>
      <c r="D183" s="53">
        <v>0</v>
      </c>
      <c r="E183" s="53">
        <v>17</v>
      </c>
      <c r="F183" s="53">
        <v>0</v>
      </c>
      <c r="G183" s="53">
        <v>0</v>
      </c>
      <c r="H183" s="53">
        <v>0</v>
      </c>
    </row>
    <row r="184" ht="20.05" customHeight="1">
      <c r="A184" s="12"/>
      <c r="B184" t="s" s="51">
        <v>239</v>
      </c>
      <c r="C184" t="s" s="52">
        <v>240</v>
      </c>
      <c r="D184" s="53">
        <v>0</v>
      </c>
      <c r="E184" s="53">
        <v>5</v>
      </c>
      <c r="F184" s="53">
        <v>0</v>
      </c>
      <c r="G184" s="53">
        <v>0</v>
      </c>
      <c r="H184" s="53">
        <v>0</v>
      </c>
    </row>
    <row r="185" ht="20.05" customHeight="1">
      <c r="A185" s="12"/>
      <c r="B185" s="13"/>
      <c r="C185" t="s" s="52">
        <v>241</v>
      </c>
      <c r="D185" s="53">
        <v>0</v>
      </c>
      <c r="E185" s="53">
        <v>16</v>
      </c>
      <c r="F185" s="53">
        <v>0</v>
      </c>
      <c r="G185" s="53">
        <v>0</v>
      </c>
      <c r="H185" s="53">
        <v>0</v>
      </c>
    </row>
    <row r="186" ht="20.05" customHeight="1">
      <c r="A186" s="12"/>
      <c r="B186" s="13"/>
      <c r="C186" t="s" s="52">
        <v>242</v>
      </c>
      <c r="D186" s="53">
        <v>0</v>
      </c>
      <c r="E186" s="53">
        <v>16</v>
      </c>
      <c r="F186" s="53">
        <v>3</v>
      </c>
      <c r="G186" s="53">
        <v>0</v>
      </c>
      <c r="H186" s="53">
        <v>0</v>
      </c>
    </row>
    <row r="187" ht="20.05" customHeight="1">
      <c r="A187" s="12"/>
      <c r="B187" s="13"/>
      <c r="C187" t="s" s="52">
        <v>243</v>
      </c>
      <c r="D187" s="53">
        <v>0</v>
      </c>
      <c r="E187" s="53">
        <v>6</v>
      </c>
      <c r="F187" s="53">
        <v>0</v>
      </c>
      <c r="G187" s="53">
        <v>0</v>
      </c>
      <c r="H187" s="53">
        <v>0</v>
      </c>
    </row>
    <row r="188" ht="20.05" customHeight="1">
      <c r="A188" s="12"/>
      <c r="B188" s="13"/>
      <c r="C188" t="s" s="52">
        <v>244</v>
      </c>
      <c r="D188" s="53">
        <v>0</v>
      </c>
      <c r="E188" s="53">
        <v>6</v>
      </c>
      <c r="F188" s="53">
        <v>0</v>
      </c>
      <c r="G188" s="53">
        <v>0</v>
      </c>
      <c r="H188" s="53">
        <v>0</v>
      </c>
    </row>
    <row r="189" ht="20.05" customHeight="1">
      <c r="A189" s="12"/>
      <c r="B189" s="13"/>
      <c r="C189" t="s" s="52">
        <v>245</v>
      </c>
      <c r="D189" s="53">
        <v>0</v>
      </c>
      <c r="E189" s="53">
        <v>9</v>
      </c>
      <c r="F189" s="53">
        <v>1</v>
      </c>
      <c r="G189" s="53">
        <v>0</v>
      </c>
      <c r="H189" s="53">
        <v>0</v>
      </c>
    </row>
    <row r="190" ht="20.05" customHeight="1">
      <c r="A190" s="12"/>
      <c r="B190" t="s" s="51">
        <v>246</v>
      </c>
      <c r="C190" t="s" s="52">
        <v>247</v>
      </c>
      <c r="D190" s="53">
        <v>0</v>
      </c>
      <c r="E190" s="53">
        <v>2</v>
      </c>
      <c r="F190" s="53">
        <v>0</v>
      </c>
      <c r="G190" s="53">
        <v>0</v>
      </c>
      <c r="H190" s="53">
        <v>0</v>
      </c>
    </row>
    <row r="191" ht="20.05" customHeight="1">
      <c r="A191" s="12"/>
      <c r="B191" s="13"/>
      <c r="C191" t="s" s="52">
        <v>248</v>
      </c>
      <c r="D191" s="53">
        <v>0</v>
      </c>
      <c r="E191" s="53">
        <v>1</v>
      </c>
      <c r="F191" s="53">
        <v>0</v>
      </c>
      <c r="G191" s="53">
        <v>0</v>
      </c>
      <c r="H191" s="53">
        <v>0</v>
      </c>
    </row>
    <row r="192" ht="20.05" customHeight="1">
      <c r="A192" s="12"/>
      <c r="B192" s="13"/>
      <c r="C192" t="s" s="52">
        <v>249</v>
      </c>
      <c r="D192" s="53">
        <v>0</v>
      </c>
      <c r="E192" s="53">
        <v>2</v>
      </c>
      <c r="F192" s="53">
        <v>0</v>
      </c>
      <c r="G192" s="53">
        <v>0</v>
      </c>
      <c r="H192" s="53">
        <v>0</v>
      </c>
    </row>
    <row r="193" ht="20.05" customHeight="1">
      <c r="A193" s="12"/>
      <c r="B193" s="13"/>
      <c r="C193" t="s" s="52">
        <v>250</v>
      </c>
      <c r="D193" s="53">
        <v>0</v>
      </c>
      <c r="E193" s="53">
        <v>12</v>
      </c>
      <c r="F193" s="53">
        <v>0</v>
      </c>
      <c r="G193" s="53">
        <v>0</v>
      </c>
      <c r="H193" s="53">
        <v>0</v>
      </c>
    </row>
    <row r="194" ht="32.05" customHeight="1">
      <c r="A194" s="12"/>
      <c r="B194" s="13"/>
      <c r="C194" t="s" s="52">
        <v>251</v>
      </c>
      <c r="D194" s="53">
        <v>0</v>
      </c>
      <c r="E194" s="53">
        <v>1</v>
      </c>
      <c r="F194" s="53">
        <v>0</v>
      </c>
      <c r="G194" s="53">
        <v>0</v>
      </c>
      <c r="H194" s="53">
        <v>0</v>
      </c>
    </row>
    <row r="195" ht="20.05" customHeight="1">
      <c r="A195" s="12"/>
      <c r="B195" s="13"/>
      <c r="C195" t="s" s="52">
        <v>252</v>
      </c>
      <c r="D195" s="53">
        <v>0</v>
      </c>
      <c r="E195" s="53">
        <v>7</v>
      </c>
      <c r="F195" s="53">
        <v>0</v>
      </c>
      <c r="G195" s="53">
        <v>0</v>
      </c>
      <c r="H195" s="53">
        <v>0</v>
      </c>
    </row>
    <row r="196" ht="20.05" customHeight="1">
      <c r="A196" s="12"/>
      <c r="B196" s="13"/>
      <c r="C196" t="s" s="52">
        <v>253</v>
      </c>
      <c r="D196" s="53">
        <v>1</v>
      </c>
      <c r="E196" s="53">
        <v>10</v>
      </c>
      <c r="F196" s="53">
        <v>1</v>
      </c>
      <c r="G196" s="53">
        <v>0</v>
      </c>
      <c r="H196" s="53">
        <v>0</v>
      </c>
    </row>
    <row r="197" ht="20.05" customHeight="1">
      <c r="A197" s="12"/>
      <c r="B197" s="13"/>
      <c r="C197" t="s" s="52">
        <v>254</v>
      </c>
      <c r="D197" s="53">
        <v>0</v>
      </c>
      <c r="E197" s="53">
        <v>19</v>
      </c>
      <c r="F197" s="53">
        <v>0</v>
      </c>
      <c r="G197" s="53">
        <v>0</v>
      </c>
      <c r="H197" s="53">
        <v>0</v>
      </c>
    </row>
    <row r="198" ht="22.95" customHeight="1">
      <c r="A198" s="12"/>
      <c r="B198" t="s" s="51">
        <v>255</v>
      </c>
      <c r="C198" t="s" s="54">
        <v>256</v>
      </c>
      <c r="D198" s="53">
        <v>0</v>
      </c>
      <c r="E198" s="53">
        <v>0</v>
      </c>
      <c r="F198" s="53">
        <v>0</v>
      </c>
      <c r="G198" s="53">
        <v>0</v>
      </c>
      <c r="H198" s="53">
        <v>0</v>
      </c>
    </row>
    <row r="199" ht="20.05" customHeight="1">
      <c r="A199" s="12"/>
      <c r="B199" t="s" s="51">
        <v>257</v>
      </c>
      <c r="C199" t="s" s="52">
        <v>258</v>
      </c>
      <c r="D199" s="53">
        <v>0</v>
      </c>
      <c r="E199" s="53">
        <v>2</v>
      </c>
      <c r="F199" s="53">
        <v>0</v>
      </c>
      <c r="G199" s="53">
        <v>0</v>
      </c>
      <c r="H199" s="53">
        <v>0</v>
      </c>
    </row>
    <row r="200" ht="20.05" customHeight="1">
      <c r="A200" s="12"/>
      <c r="B200" s="13"/>
      <c r="C200" t="s" s="52">
        <v>259</v>
      </c>
      <c r="D200" s="53">
        <v>0</v>
      </c>
      <c r="E200" s="53">
        <v>5</v>
      </c>
      <c r="F200" s="53">
        <v>0</v>
      </c>
      <c r="G200" s="53">
        <v>0</v>
      </c>
      <c r="H200" s="53">
        <v>0</v>
      </c>
    </row>
    <row r="201" ht="20.05" customHeight="1">
      <c r="A201" s="12"/>
      <c r="B201" s="13"/>
      <c r="C201" t="s" s="52">
        <v>260</v>
      </c>
      <c r="D201" s="53">
        <v>0</v>
      </c>
      <c r="E201" s="53">
        <v>4</v>
      </c>
      <c r="F201" s="53">
        <v>0</v>
      </c>
      <c r="G201" s="53">
        <v>0</v>
      </c>
      <c r="H201" s="53">
        <v>0</v>
      </c>
    </row>
    <row r="202" ht="20.05" customHeight="1">
      <c r="A202" s="12"/>
      <c r="B202" s="13"/>
      <c r="C202" t="s" s="52">
        <v>261</v>
      </c>
      <c r="D202" s="53">
        <v>0</v>
      </c>
      <c r="E202" s="53">
        <v>8</v>
      </c>
      <c r="F202" s="53">
        <v>0</v>
      </c>
      <c r="G202" s="53">
        <v>0</v>
      </c>
      <c r="H202" s="53">
        <v>0</v>
      </c>
    </row>
    <row r="203" ht="20.05" customHeight="1">
      <c r="A203" s="12"/>
      <c r="B203" t="s" s="51">
        <v>262</v>
      </c>
      <c r="C203" t="s" s="52">
        <v>263</v>
      </c>
      <c r="D203" s="53">
        <v>0</v>
      </c>
      <c r="E203" s="53">
        <v>5</v>
      </c>
      <c r="F203" s="53">
        <v>0</v>
      </c>
      <c r="G203" s="53">
        <v>0</v>
      </c>
      <c r="H203" s="53">
        <v>0</v>
      </c>
    </row>
    <row r="204" ht="22.9" customHeight="1">
      <c r="A204" s="12"/>
      <c r="B204" s="13"/>
      <c r="C204" t="s" s="52">
        <v>264</v>
      </c>
      <c r="D204" s="53">
        <v>0</v>
      </c>
      <c r="E204" s="53">
        <v>14</v>
      </c>
      <c r="F204" s="53">
        <v>1</v>
      </c>
      <c r="G204" s="53">
        <v>0</v>
      </c>
      <c r="H204" s="53">
        <v>0</v>
      </c>
    </row>
    <row r="205" ht="22.9" customHeight="1">
      <c r="A205" s="12"/>
      <c r="B205" s="13"/>
      <c r="C205" t="s" s="52">
        <v>265</v>
      </c>
      <c r="D205" s="53">
        <v>0</v>
      </c>
      <c r="E205" s="53">
        <v>6</v>
      </c>
      <c r="F205" s="53">
        <v>0</v>
      </c>
      <c r="G205" s="53">
        <v>0</v>
      </c>
      <c r="H205" s="53">
        <v>0</v>
      </c>
    </row>
    <row r="206" ht="8.15" customHeight="1">
      <c r="A206" t="s" s="26">
        <v>266</v>
      </c>
      <c r="B206" t="s" s="55">
        <v>267</v>
      </c>
      <c r="C206" t="s" s="28">
        <v>268</v>
      </c>
      <c r="D206" s="29">
        <v>0</v>
      </c>
      <c r="E206" s="29">
        <v>6</v>
      </c>
      <c r="F206" s="29">
        <v>4</v>
      </c>
      <c r="G206" s="29">
        <v>0</v>
      </c>
      <c r="H206" s="29">
        <v>1</v>
      </c>
    </row>
    <row r="207" ht="8" customHeight="1">
      <c r="A207" s="12"/>
      <c r="B207" s="13"/>
      <c r="C207" s="14"/>
      <c r="D207" s="14"/>
      <c r="E207" s="14"/>
      <c r="F207" s="14"/>
      <c r="G207" s="14"/>
      <c r="H207" s="14"/>
    </row>
    <row r="208" ht="8.15" customHeight="1">
      <c r="A208" s="12"/>
      <c r="B208" s="13"/>
      <c r="C208" s="14"/>
      <c r="D208" s="14"/>
      <c r="E208" s="14"/>
      <c r="F208" s="14"/>
      <c r="G208" s="14"/>
      <c r="H208" s="14"/>
    </row>
    <row r="209" ht="8.15" customHeight="1">
      <c r="A209" s="12"/>
      <c r="B209" s="13"/>
      <c r="C209" t="s" s="28">
        <v>269</v>
      </c>
      <c r="D209" s="29">
        <v>0</v>
      </c>
      <c r="E209" s="29">
        <v>20</v>
      </c>
      <c r="F209" s="29">
        <v>5</v>
      </c>
      <c r="G209" s="29">
        <v>0</v>
      </c>
      <c r="H209" s="29">
        <v>0</v>
      </c>
    </row>
    <row r="210" ht="11.7" customHeight="1">
      <c r="A210" s="12"/>
      <c r="B210" s="13"/>
      <c r="C210" s="14"/>
      <c r="D210" s="14"/>
      <c r="E210" s="14"/>
      <c r="F210" s="14"/>
      <c r="G210" s="14"/>
      <c r="H210" s="14"/>
    </row>
    <row r="211" ht="8.15" customHeight="1">
      <c r="A211" s="12"/>
      <c r="B211" s="13"/>
      <c r="C211" t="s" s="28">
        <v>270</v>
      </c>
      <c r="D211" s="29">
        <v>0</v>
      </c>
      <c r="E211" s="29">
        <v>7</v>
      </c>
      <c r="F211" s="29">
        <v>2</v>
      </c>
      <c r="G211" s="29">
        <v>0</v>
      </c>
      <c r="H211" s="29">
        <v>0</v>
      </c>
    </row>
    <row r="212" ht="11.7" customHeight="1">
      <c r="A212" s="12"/>
      <c r="B212" s="13"/>
      <c r="C212" s="14"/>
      <c r="D212" s="14"/>
      <c r="E212" s="14"/>
      <c r="F212" s="14"/>
      <c r="G212" s="14"/>
      <c r="H212" s="14"/>
    </row>
    <row r="213" ht="20.05" customHeight="1">
      <c r="A213" s="12"/>
      <c r="B213" t="s" s="55">
        <v>271</v>
      </c>
      <c r="C213" t="s" s="28">
        <v>272</v>
      </c>
      <c r="D213" s="29">
        <v>0</v>
      </c>
      <c r="E213" s="29">
        <v>6</v>
      </c>
      <c r="F213" s="29">
        <v>5</v>
      </c>
      <c r="G213" s="29">
        <v>1</v>
      </c>
      <c r="H213" s="29">
        <v>0</v>
      </c>
    </row>
    <row r="214" ht="20.05" customHeight="1">
      <c r="A214" s="12"/>
      <c r="B214" s="13"/>
      <c r="C214" t="s" s="28">
        <v>273</v>
      </c>
      <c r="D214" s="29">
        <v>1</v>
      </c>
      <c r="E214" s="29">
        <v>8</v>
      </c>
      <c r="F214" s="29">
        <v>5</v>
      </c>
      <c r="G214" s="29">
        <v>0</v>
      </c>
      <c r="H214" s="29">
        <v>1</v>
      </c>
    </row>
    <row r="215" ht="20.05" customHeight="1">
      <c r="A215" s="12"/>
      <c r="B215" s="13"/>
      <c r="C215" t="s" s="28">
        <v>274</v>
      </c>
      <c r="D215" s="29">
        <v>0</v>
      </c>
      <c r="E215" s="29">
        <v>11</v>
      </c>
      <c r="F215" s="29">
        <v>5</v>
      </c>
      <c r="G215" s="29">
        <v>1</v>
      </c>
      <c r="H215" s="29">
        <v>0</v>
      </c>
    </row>
    <row r="216" ht="20.05" customHeight="1">
      <c r="A216" s="12"/>
      <c r="B216" s="13"/>
      <c r="C216" t="s" s="28">
        <v>275</v>
      </c>
      <c r="D216" s="29">
        <v>0</v>
      </c>
      <c r="E216" s="29">
        <v>12</v>
      </c>
      <c r="F216" s="29">
        <v>5</v>
      </c>
      <c r="G216" s="29">
        <v>0</v>
      </c>
      <c r="H216" s="29">
        <v>0</v>
      </c>
    </row>
    <row r="217" ht="20.05" customHeight="1">
      <c r="A217" s="12"/>
      <c r="B217" t="s" s="55">
        <v>276</v>
      </c>
      <c r="C217" t="s" s="28">
        <v>277</v>
      </c>
      <c r="D217" s="29">
        <v>0</v>
      </c>
      <c r="E217" s="29">
        <v>9</v>
      </c>
      <c r="F217" s="29">
        <v>5</v>
      </c>
      <c r="G217" s="29">
        <v>0</v>
      </c>
      <c r="H217" s="29">
        <v>0</v>
      </c>
    </row>
    <row r="218" ht="20.05" customHeight="1">
      <c r="A218" s="12"/>
      <c r="B218" s="13"/>
      <c r="C218" t="s" s="28">
        <v>278</v>
      </c>
      <c r="D218" s="29">
        <v>0</v>
      </c>
      <c r="E218" s="29">
        <v>7</v>
      </c>
      <c r="F218" s="29">
        <v>1</v>
      </c>
      <c r="G218" s="29">
        <v>0</v>
      </c>
      <c r="H218" s="29">
        <v>0</v>
      </c>
    </row>
    <row r="219" ht="20.05" customHeight="1">
      <c r="A219" s="12"/>
      <c r="B219" s="13"/>
      <c r="C219" t="s" s="28">
        <v>279</v>
      </c>
      <c r="D219" s="29">
        <v>0</v>
      </c>
      <c r="E219" s="29">
        <v>1</v>
      </c>
      <c r="F219" s="29">
        <v>0</v>
      </c>
      <c r="G219" s="29">
        <v>0</v>
      </c>
      <c r="H219" s="29">
        <v>0</v>
      </c>
    </row>
    <row r="220" ht="20.05" customHeight="1">
      <c r="A220" s="12"/>
      <c r="B220" t="s" s="55">
        <v>280</v>
      </c>
      <c r="C220" t="s" s="28">
        <v>281</v>
      </c>
      <c r="D220" s="29">
        <v>1</v>
      </c>
      <c r="E220" s="29">
        <v>5</v>
      </c>
      <c r="F220" s="29">
        <v>1</v>
      </c>
      <c r="G220" s="29">
        <v>0</v>
      </c>
      <c r="H220" s="29">
        <v>1</v>
      </c>
    </row>
    <row r="221" ht="20.05" customHeight="1">
      <c r="A221" s="12"/>
      <c r="B221" s="13"/>
      <c r="C221" t="s" s="28">
        <v>282</v>
      </c>
      <c r="D221" s="29">
        <v>0</v>
      </c>
      <c r="E221" s="29">
        <v>6</v>
      </c>
      <c r="F221" s="29">
        <v>5</v>
      </c>
      <c r="G221" s="29">
        <v>0</v>
      </c>
      <c r="H221" s="29">
        <v>1</v>
      </c>
    </row>
    <row r="222" ht="20.05" customHeight="1">
      <c r="A222" s="12"/>
      <c r="B222" s="13"/>
      <c r="C222" t="s" s="28">
        <v>283</v>
      </c>
      <c r="D222" s="29">
        <v>0</v>
      </c>
      <c r="E222" s="29">
        <v>5</v>
      </c>
      <c r="F222" s="29">
        <v>5</v>
      </c>
      <c r="G222" s="29">
        <v>0</v>
      </c>
      <c r="H222" s="29">
        <v>0</v>
      </c>
    </row>
    <row r="223" ht="20.05" customHeight="1">
      <c r="A223" s="12"/>
      <c r="B223" s="13"/>
      <c r="C223" t="s" s="28">
        <v>284</v>
      </c>
      <c r="D223" s="29">
        <v>0</v>
      </c>
      <c r="E223" s="29">
        <v>1</v>
      </c>
      <c r="F223" s="29">
        <v>0</v>
      </c>
      <c r="G223" s="29">
        <v>0</v>
      </c>
      <c r="H223" s="29">
        <v>0</v>
      </c>
    </row>
    <row r="224" ht="20.05" customHeight="1">
      <c r="A224" s="12"/>
      <c r="B224" s="13"/>
      <c r="C224" t="s" s="28">
        <v>285</v>
      </c>
      <c r="D224" s="29">
        <v>0</v>
      </c>
      <c r="E224" s="29">
        <v>0</v>
      </c>
      <c r="F224" s="29">
        <v>2</v>
      </c>
      <c r="G224" s="29">
        <v>1</v>
      </c>
      <c r="H224" s="29">
        <v>0</v>
      </c>
    </row>
    <row r="225" ht="22.95" customHeight="1">
      <c r="A225" s="12"/>
      <c r="B225" t="s" s="55">
        <v>286</v>
      </c>
      <c r="C225" t="s" s="28">
        <v>287</v>
      </c>
      <c r="D225" s="29">
        <v>0</v>
      </c>
      <c r="E225" s="29">
        <v>2</v>
      </c>
      <c r="F225" s="29">
        <v>3</v>
      </c>
      <c r="G225" s="29">
        <v>0</v>
      </c>
      <c r="H225" s="29">
        <v>0</v>
      </c>
    </row>
    <row r="226" ht="20.05" customHeight="1">
      <c r="A226" s="12"/>
      <c r="B226" t="s" s="55">
        <v>288</v>
      </c>
      <c r="C226" t="s" s="28">
        <v>289</v>
      </c>
      <c r="D226" s="29">
        <v>0</v>
      </c>
      <c r="E226" s="29">
        <v>6</v>
      </c>
      <c r="F226" s="29">
        <v>5</v>
      </c>
      <c r="G226" s="29">
        <v>0</v>
      </c>
      <c r="H226" s="29">
        <v>0</v>
      </c>
    </row>
    <row r="227" ht="20.05" customHeight="1">
      <c r="A227" s="12"/>
      <c r="B227" s="13"/>
      <c r="C227" t="s" s="28">
        <v>290</v>
      </c>
      <c r="D227" s="29">
        <v>0</v>
      </c>
      <c r="E227" s="29">
        <v>0</v>
      </c>
      <c r="F227" s="29">
        <v>3</v>
      </c>
      <c r="G227" s="29">
        <v>0</v>
      </c>
      <c r="H227" s="29">
        <v>0</v>
      </c>
    </row>
    <row r="228" ht="20.05" customHeight="1">
      <c r="A228" s="12"/>
      <c r="B228" t="s" s="55">
        <v>291</v>
      </c>
      <c r="C228" t="s" s="28">
        <v>292</v>
      </c>
      <c r="D228" s="29">
        <v>0</v>
      </c>
      <c r="E228" s="29">
        <v>3</v>
      </c>
      <c r="F228" s="29">
        <v>3</v>
      </c>
      <c r="G228" s="29">
        <v>0</v>
      </c>
      <c r="H228" s="29">
        <v>0</v>
      </c>
    </row>
    <row r="229" ht="20.05" customHeight="1">
      <c r="A229" s="12"/>
      <c r="B229" s="13"/>
      <c r="C229" t="s" s="28">
        <v>293</v>
      </c>
      <c r="D229" s="29">
        <v>0</v>
      </c>
      <c r="E229" s="29">
        <v>1</v>
      </c>
      <c r="F229" s="29">
        <v>0</v>
      </c>
      <c r="G229" s="29">
        <v>0</v>
      </c>
      <c r="H229" s="29">
        <v>0</v>
      </c>
    </row>
    <row r="230" ht="20.05" customHeight="1">
      <c r="A230" s="12"/>
      <c r="B230" s="13"/>
      <c r="C230" t="s" s="28">
        <v>294</v>
      </c>
      <c r="D230" s="29">
        <v>0</v>
      </c>
      <c r="E230" s="29">
        <v>1</v>
      </c>
      <c r="F230" s="29">
        <v>5</v>
      </c>
      <c r="G230" s="29">
        <v>0</v>
      </c>
      <c r="H230" s="29">
        <v>0</v>
      </c>
    </row>
    <row r="231" ht="20.05" customHeight="1">
      <c r="A231" s="12"/>
      <c r="B231" s="13"/>
      <c r="C231" t="s" s="28">
        <v>295</v>
      </c>
      <c r="D231" s="29">
        <v>0</v>
      </c>
      <c r="E231" s="29">
        <v>1</v>
      </c>
      <c r="F231" s="29">
        <v>1</v>
      </c>
      <c r="G231" s="29">
        <v>0</v>
      </c>
      <c r="H231" s="29">
        <v>0</v>
      </c>
    </row>
    <row r="232" ht="20.05" customHeight="1">
      <c r="A232" s="12"/>
      <c r="B232" t="s" s="55">
        <v>296</v>
      </c>
      <c r="C232" t="s" s="28">
        <v>297</v>
      </c>
      <c r="D232" s="29">
        <v>1</v>
      </c>
      <c r="E232" s="29">
        <v>5</v>
      </c>
      <c r="F232" s="29">
        <v>3</v>
      </c>
      <c r="G232" s="29">
        <v>0</v>
      </c>
      <c r="H232" s="29">
        <v>0</v>
      </c>
    </row>
    <row r="233" ht="20.05" customHeight="1">
      <c r="A233" s="12"/>
      <c r="B233" s="13"/>
      <c r="C233" t="s" s="28">
        <v>298</v>
      </c>
      <c r="D233" s="29">
        <v>0</v>
      </c>
      <c r="E233" s="29">
        <v>2</v>
      </c>
      <c r="F233" s="29">
        <v>1</v>
      </c>
      <c r="G233" s="29">
        <v>0</v>
      </c>
      <c r="H233" s="29">
        <v>0</v>
      </c>
    </row>
    <row r="234" ht="20.05" customHeight="1">
      <c r="A234" s="12"/>
      <c r="B234" s="13"/>
      <c r="C234" t="s" s="28">
        <v>299</v>
      </c>
      <c r="D234" s="29">
        <v>0</v>
      </c>
      <c r="E234" s="29">
        <v>1</v>
      </c>
      <c r="F234" s="29">
        <v>0</v>
      </c>
      <c r="G234" s="29">
        <v>0</v>
      </c>
      <c r="H234" s="29">
        <v>0</v>
      </c>
    </row>
    <row r="235" ht="20.05" customHeight="1">
      <c r="A235" s="12"/>
      <c r="B235" t="s" s="55">
        <v>300</v>
      </c>
      <c r="C235" t="s" s="28">
        <v>301</v>
      </c>
      <c r="D235" s="29">
        <v>1</v>
      </c>
      <c r="E235" s="29">
        <v>13</v>
      </c>
      <c r="F235" s="29">
        <v>4</v>
      </c>
      <c r="G235" s="29">
        <v>0</v>
      </c>
      <c r="H235" s="29">
        <v>0</v>
      </c>
    </row>
    <row r="236" ht="20.05" customHeight="1">
      <c r="A236" s="12"/>
      <c r="B236" s="13"/>
      <c r="C236" t="s" s="28">
        <v>302</v>
      </c>
      <c r="D236" s="29">
        <v>0</v>
      </c>
      <c r="E236" s="29">
        <v>0</v>
      </c>
      <c r="F236" s="29">
        <v>5</v>
      </c>
      <c r="G236" s="29">
        <v>0</v>
      </c>
      <c r="H236" s="29">
        <v>0</v>
      </c>
    </row>
    <row r="237" ht="20.05" customHeight="1">
      <c r="A237" s="12"/>
      <c r="B237" s="13"/>
      <c r="C237" t="s" s="28">
        <v>303</v>
      </c>
      <c r="D237" s="29">
        <v>0</v>
      </c>
      <c r="E237" s="29">
        <v>1</v>
      </c>
      <c r="F237" s="29">
        <v>0</v>
      </c>
      <c r="G237" s="29">
        <v>0</v>
      </c>
      <c r="H237" s="29">
        <v>0</v>
      </c>
    </row>
    <row r="238" ht="20.05" customHeight="1">
      <c r="A238" s="12"/>
      <c r="B238" s="13"/>
      <c r="C238" t="s" s="28">
        <v>304</v>
      </c>
      <c r="D238" s="29">
        <v>0</v>
      </c>
      <c r="E238" s="29">
        <v>19</v>
      </c>
      <c r="F238" s="29">
        <v>1</v>
      </c>
      <c r="G238" s="29">
        <v>0</v>
      </c>
      <c r="H238" s="29">
        <v>0</v>
      </c>
    </row>
    <row r="239" ht="20.05" customHeight="1">
      <c r="A239" s="12"/>
      <c r="B239" s="13"/>
      <c r="C239" t="s" s="28">
        <v>305</v>
      </c>
      <c r="D239" s="29">
        <v>0</v>
      </c>
      <c r="E239" s="29">
        <v>1</v>
      </c>
      <c r="F239" s="29">
        <v>0</v>
      </c>
      <c r="G239" s="29">
        <v>0</v>
      </c>
      <c r="H239" s="29">
        <v>0</v>
      </c>
    </row>
    <row r="240" ht="20.05" customHeight="1">
      <c r="A240" s="12"/>
      <c r="B240" s="13"/>
      <c r="C240" t="s" s="28">
        <v>306</v>
      </c>
      <c r="D240" s="29">
        <v>0</v>
      </c>
      <c r="E240" s="29">
        <v>16</v>
      </c>
      <c r="F240" s="29">
        <v>3</v>
      </c>
      <c r="G240" s="29">
        <v>0</v>
      </c>
      <c r="H240" s="29">
        <v>0</v>
      </c>
    </row>
    <row r="241" ht="20.05" customHeight="1">
      <c r="A241" s="12"/>
      <c r="B241" s="13"/>
      <c r="C241" t="s" s="28">
        <v>307</v>
      </c>
      <c r="D241" s="29">
        <v>0</v>
      </c>
      <c r="E241" s="29">
        <v>5</v>
      </c>
      <c r="F241" s="29">
        <v>0</v>
      </c>
      <c r="G241" s="29">
        <v>0</v>
      </c>
      <c r="H241" s="29">
        <v>0</v>
      </c>
    </row>
    <row r="242" ht="20.2" customHeight="1">
      <c r="A242" s="12"/>
      <c r="B242" t="s" s="55">
        <v>308</v>
      </c>
      <c r="C242" t="s" s="28">
        <v>309</v>
      </c>
      <c r="D242" s="29">
        <v>0</v>
      </c>
      <c r="E242" s="29">
        <v>4</v>
      </c>
      <c r="F242" s="29">
        <v>3</v>
      </c>
      <c r="G242" s="29">
        <v>0</v>
      </c>
      <c r="H242" s="29">
        <v>0</v>
      </c>
    </row>
    <row r="243" ht="20.2" customHeight="1">
      <c r="A243" s="12"/>
      <c r="B243" s="13"/>
      <c r="C243" t="s" s="28">
        <v>310</v>
      </c>
      <c r="D243" s="29">
        <v>0</v>
      </c>
      <c r="E243" s="29">
        <v>4</v>
      </c>
      <c r="F243" s="29">
        <v>4</v>
      </c>
      <c r="G243" s="29">
        <v>0</v>
      </c>
      <c r="H243" s="29">
        <v>0</v>
      </c>
    </row>
    <row r="244" ht="20.2" customHeight="1">
      <c r="A244" s="12"/>
      <c r="B244" t="s" s="55">
        <v>311</v>
      </c>
      <c r="C244" t="s" s="28">
        <v>312</v>
      </c>
      <c r="D244" s="29">
        <v>0</v>
      </c>
      <c r="E244" s="29">
        <v>2</v>
      </c>
      <c r="F244" s="29">
        <v>1</v>
      </c>
      <c r="G244" s="29">
        <v>0</v>
      </c>
      <c r="H244" s="29">
        <v>0</v>
      </c>
    </row>
    <row r="245" ht="20.2" customHeight="1">
      <c r="A245" s="12"/>
      <c r="B245" s="13"/>
      <c r="C245" t="s" s="28">
        <v>313</v>
      </c>
      <c r="D245" s="29">
        <v>0</v>
      </c>
      <c r="E245" s="29">
        <v>3</v>
      </c>
      <c r="F245" s="29">
        <v>1</v>
      </c>
      <c r="G245" s="29">
        <v>0</v>
      </c>
      <c r="H245" s="29">
        <v>0</v>
      </c>
    </row>
    <row r="246" ht="20.2" customHeight="1">
      <c r="A246" s="12"/>
      <c r="B246" t="s" s="56">
        <v>314</v>
      </c>
      <c r="C246" t="s" s="28">
        <v>314</v>
      </c>
      <c r="D246" s="29">
        <v>0</v>
      </c>
      <c r="E246" s="29">
        <v>4</v>
      </c>
      <c r="F246" s="29">
        <v>0</v>
      </c>
      <c r="G246" s="29">
        <v>0</v>
      </c>
      <c r="H246" s="29">
        <v>0</v>
      </c>
    </row>
    <row r="247" ht="20.05" customHeight="1">
      <c r="A247" t="s" s="30">
        <v>315</v>
      </c>
      <c r="B247" t="s" s="57">
        <v>316</v>
      </c>
      <c r="C247" t="s" s="32">
        <v>317</v>
      </c>
      <c r="D247" s="33">
        <v>0</v>
      </c>
      <c r="E247" s="33">
        <v>21</v>
      </c>
      <c r="F247" s="33">
        <v>5</v>
      </c>
      <c r="G247" s="33">
        <v>2</v>
      </c>
      <c r="H247" s="33">
        <v>0</v>
      </c>
    </row>
    <row r="248" ht="20.05" customHeight="1">
      <c r="A248" s="12"/>
      <c r="B248" s="13"/>
      <c r="C248" t="s" s="32">
        <v>318</v>
      </c>
      <c r="D248" s="33">
        <v>0</v>
      </c>
      <c r="E248" s="33">
        <v>9</v>
      </c>
      <c r="F248" s="33">
        <v>5</v>
      </c>
      <c r="G248" s="33">
        <v>0</v>
      </c>
      <c r="H248" s="33">
        <v>0</v>
      </c>
    </row>
    <row r="249" ht="20.05" customHeight="1">
      <c r="A249" s="12"/>
      <c r="B249" t="s" s="57">
        <v>319</v>
      </c>
      <c r="C249" t="s" s="32">
        <v>320</v>
      </c>
      <c r="D249" s="33">
        <v>0</v>
      </c>
      <c r="E249" s="33">
        <v>6</v>
      </c>
      <c r="F249" s="33">
        <v>5</v>
      </c>
      <c r="G249" s="33">
        <v>0</v>
      </c>
      <c r="H249" s="33">
        <v>0</v>
      </c>
    </row>
    <row r="250" ht="20.05" customHeight="1">
      <c r="A250" s="12"/>
      <c r="B250" s="13"/>
      <c r="C250" t="s" s="32">
        <v>321</v>
      </c>
      <c r="D250" s="33">
        <v>0</v>
      </c>
      <c r="E250" s="33">
        <v>3</v>
      </c>
      <c r="F250" s="33">
        <v>5</v>
      </c>
      <c r="G250" s="33">
        <v>0</v>
      </c>
      <c r="H250" s="33">
        <v>0</v>
      </c>
    </row>
    <row r="251" ht="20.05" customHeight="1">
      <c r="A251" s="12"/>
      <c r="B251" s="13"/>
      <c r="C251" t="s" s="32">
        <v>322</v>
      </c>
      <c r="D251" s="33">
        <v>1</v>
      </c>
      <c r="E251" s="33">
        <v>2</v>
      </c>
      <c r="F251" s="33">
        <v>4</v>
      </c>
      <c r="G251" s="33">
        <v>0</v>
      </c>
      <c r="H251" s="33">
        <v>0</v>
      </c>
    </row>
    <row r="252" ht="20.05" customHeight="1">
      <c r="A252" s="12"/>
      <c r="B252" t="s" s="57">
        <v>323</v>
      </c>
      <c r="C252" t="s" s="32">
        <v>324</v>
      </c>
      <c r="D252" s="33">
        <v>0</v>
      </c>
      <c r="E252" s="33">
        <v>2</v>
      </c>
      <c r="F252" s="33">
        <v>5</v>
      </c>
      <c r="G252" s="33">
        <v>0</v>
      </c>
      <c r="H252" s="33">
        <v>0</v>
      </c>
    </row>
    <row r="253" ht="20.05" customHeight="1">
      <c r="A253" s="12"/>
      <c r="B253" s="13"/>
      <c r="C253" t="s" s="32">
        <v>325</v>
      </c>
      <c r="D253" s="33">
        <v>0</v>
      </c>
      <c r="E253" s="33">
        <v>2</v>
      </c>
      <c r="F253" s="33">
        <v>1</v>
      </c>
      <c r="G253" s="33">
        <v>0</v>
      </c>
      <c r="H253" s="33">
        <v>0</v>
      </c>
    </row>
    <row r="254" ht="20.05" customHeight="1">
      <c r="A254" s="12"/>
      <c r="B254" s="13"/>
      <c r="C254" t="s" s="32">
        <v>326</v>
      </c>
      <c r="D254" s="33">
        <v>1</v>
      </c>
      <c r="E254" s="33">
        <v>2</v>
      </c>
      <c r="F254" s="33">
        <v>1</v>
      </c>
      <c r="G254" s="33">
        <v>0</v>
      </c>
      <c r="H254" s="33">
        <v>0</v>
      </c>
    </row>
    <row r="255" ht="20.05" customHeight="1">
      <c r="A255" s="12"/>
      <c r="B255" s="13"/>
      <c r="C255" t="s" s="32">
        <v>327</v>
      </c>
      <c r="D255" s="33">
        <v>1</v>
      </c>
      <c r="E255" s="33">
        <v>2</v>
      </c>
      <c r="F255" s="33">
        <v>2</v>
      </c>
      <c r="G255" s="33">
        <v>0</v>
      </c>
      <c r="H255" s="33">
        <v>0</v>
      </c>
    </row>
    <row r="256" ht="20.05" customHeight="1">
      <c r="A256" s="12"/>
      <c r="B256" s="13"/>
      <c r="C256" t="s" s="32">
        <v>328</v>
      </c>
      <c r="D256" s="33">
        <v>0</v>
      </c>
      <c r="E256" s="33">
        <v>5</v>
      </c>
      <c r="F256" s="33">
        <v>5</v>
      </c>
      <c r="G256" s="33">
        <v>1</v>
      </c>
      <c r="H256" s="33">
        <v>0</v>
      </c>
    </row>
    <row r="257" ht="20.05" customHeight="1">
      <c r="A257" s="12"/>
      <c r="B257" s="13"/>
      <c r="C257" t="s" s="32">
        <v>329</v>
      </c>
      <c r="D257" s="33">
        <v>0</v>
      </c>
      <c r="E257" s="33">
        <v>8</v>
      </c>
      <c r="F257" s="33">
        <v>3</v>
      </c>
      <c r="G257" s="33">
        <v>0</v>
      </c>
      <c r="H257" s="33">
        <v>1</v>
      </c>
    </row>
    <row r="258" ht="20.05" customHeight="1">
      <c r="A258" s="12"/>
      <c r="B258" s="13"/>
      <c r="C258" t="s" s="32">
        <v>330</v>
      </c>
      <c r="D258" s="33">
        <v>0</v>
      </c>
      <c r="E258" s="33">
        <v>27</v>
      </c>
      <c r="F258" s="33">
        <v>6</v>
      </c>
      <c r="G258" s="33">
        <v>0</v>
      </c>
      <c r="H258" s="33">
        <v>0</v>
      </c>
    </row>
    <row r="259" ht="20.05" customHeight="1">
      <c r="A259" s="12"/>
      <c r="B259" s="13"/>
      <c r="C259" t="s" s="32">
        <v>331</v>
      </c>
      <c r="D259" s="33">
        <v>0</v>
      </c>
      <c r="E259" s="33">
        <v>8</v>
      </c>
      <c r="F259" s="33">
        <v>2</v>
      </c>
      <c r="G259" s="33">
        <v>0</v>
      </c>
      <c r="H259" s="33">
        <v>0</v>
      </c>
    </row>
    <row r="260" ht="20.05" customHeight="1">
      <c r="A260" s="12"/>
      <c r="B260" s="13"/>
      <c r="C260" t="s" s="32">
        <v>332</v>
      </c>
      <c r="D260" s="33">
        <v>0</v>
      </c>
      <c r="E260" s="33">
        <v>2</v>
      </c>
      <c r="F260" s="33">
        <v>1</v>
      </c>
      <c r="G260" s="33">
        <v>0</v>
      </c>
      <c r="H260" s="33">
        <v>0</v>
      </c>
    </row>
    <row r="261" ht="20.05" customHeight="1">
      <c r="A261" s="12"/>
      <c r="B261" s="13"/>
      <c r="C261" t="s" s="32">
        <v>333</v>
      </c>
      <c r="D261" s="33">
        <v>0</v>
      </c>
      <c r="E261" s="33">
        <v>6</v>
      </c>
      <c r="F261" s="33">
        <v>2</v>
      </c>
      <c r="G261" s="33">
        <v>0</v>
      </c>
      <c r="H261" s="33">
        <v>0</v>
      </c>
    </row>
    <row r="262" ht="20.05" customHeight="1">
      <c r="A262" s="12"/>
      <c r="B262" t="s" s="57">
        <v>334</v>
      </c>
      <c r="C262" t="s" s="32">
        <v>335</v>
      </c>
      <c r="D262" s="33">
        <v>0</v>
      </c>
      <c r="E262" s="33">
        <v>3</v>
      </c>
      <c r="F262" s="33">
        <v>5</v>
      </c>
      <c r="G262" s="33">
        <v>0</v>
      </c>
      <c r="H262" s="33">
        <v>0</v>
      </c>
    </row>
    <row r="263" ht="20.05" customHeight="1">
      <c r="A263" s="12"/>
      <c r="B263" s="13"/>
      <c r="C263" t="s" s="32">
        <v>336</v>
      </c>
      <c r="D263" s="33">
        <v>1</v>
      </c>
      <c r="E263" s="33">
        <v>5</v>
      </c>
      <c r="F263" s="33">
        <v>3</v>
      </c>
      <c r="G263" s="33">
        <v>0</v>
      </c>
      <c r="H263" s="33">
        <v>0</v>
      </c>
    </row>
    <row r="264" ht="20.05" customHeight="1">
      <c r="A264" s="12"/>
      <c r="B264" s="13"/>
      <c r="C264" t="s" s="32">
        <v>337</v>
      </c>
      <c r="D264" s="33">
        <v>0</v>
      </c>
      <c r="E264" s="33">
        <v>7</v>
      </c>
      <c r="F264" s="33">
        <v>2</v>
      </c>
      <c r="G264" s="33">
        <v>0</v>
      </c>
      <c r="H264" s="33">
        <v>0</v>
      </c>
    </row>
    <row r="265" ht="20.05" customHeight="1">
      <c r="A265" s="12"/>
      <c r="B265" s="13"/>
      <c r="C265" t="s" s="32">
        <v>338</v>
      </c>
      <c r="D265" s="33">
        <v>0</v>
      </c>
      <c r="E265" s="33">
        <v>1</v>
      </c>
      <c r="F265" s="33">
        <v>3</v>
      </c>
      <c r="G265" s="33">
        <v>0</v>
      </c>
      <c r="H265" s="33">
        <v>0</v>
      </c>
    </row>
    <row r="266" ht="20.05" customHeight="1">
      <c r="A266" s="12"/>
      <c r="B266" s="13"/>
      <c r="C266" t="s" s="32">
        <v>339</v>
      </c>
      <c r="D266" s="33">
        <v>0</v>
      </c>
      <c r="E266" s="33">
        <v>24</v>
      </c>
      <c r="F266" s="33">
        <v>5</v>
      </c>
      <c r="G266" s="33">
        <v>0</v>
      </c>
      <c r="H266" s="33">
        <v>0</v>
      </c>
    </row>
    <row r="267" ht="20.05" customHeight="1">
      <c r="A267" s="12"/>
      <c r="B267" t="s" s="57">
        <v>340</v>
      </c>
      <c r="C267" t="s" s="32">
        <v>341</v>
      </c>
      <c r="D267" s="33">
        <v>0</v>
      </c>
      <c r="E267" s="33">
        <v>15</v>
      </c>
      <c r="F267" s="33">
        <v>5</v>
      </c>
      <c r="G267" s="33">
        <v>0</v>
      </c>
      <c r="H267" s="33">
        <v>0</v>
      </c>
    </row>
    <row r="268" ht="20.05" customHeight="1">
      <c r="A268" s="12"/>
      <c r="B268" s="13"/>
      <c r="C268" t="s" s="32">
        <v>342</v>
      </c>
      <c r="D268" s="33">
        <v>0</v>
      </c>
      <c r="E268" s="33">
        <v>11</v>
      </c>
      <c r="F268" s="33">
        <v>5</v>
      </c>
      <c r="G268" s="33">
        <v>0</v>
      </c>
      <c r="H268" s="33">
        <v>0</v>
      </c>
    </row>
    <row r="269" ht="20.05" customHeight="1">
      <c r="A269" s="12"/>
      <c r="B269" t="s" s="57">
        <v>343</v>
      </c>
      <c r="C269" t="s" s="32">
        <v>344</v>
      </c>
      <c r="D269" s="33">
        <v>0</v>
      </c>
      <c r="E269" s="33">
        <v>7</v>
      </c>
      <c r="F269" s="33">
        <v>0</v>
      </c>
      <c r="G269" s="33">
        <v>0</v>
      </c>
      <c r="H269" s="33">
        <v>0</v>
      </c>
    </row>
    <row r="270" ht="20.05" customHeight="1">
      <c r="A270" s="12"/>
      <c r="B270" s="13"/>
      <c r="C270" t="s" s="32">
        <v>345</v>
      </c>
      <c r="D270" s="33">
        <v>0</v>
      </c>
      <c r="E270" s="33">
        <v>5</v>
      </c>
      <c r="F270" s="33">
        <v>1</v>
      </c>
      <c r="G270" s="33">
        <v>0</v>
      </c>
      <c r="H270" s="33">
        <v>0</v>
      </c>
    </row>
    <row r="271" ht="20.05" customHeight="1">
      <c r="A271" s="12"/>
      <c r="B271" s="13"/>
      <c r="C271" t="s" s="32">
        <v>346</v>
      </c>
      <c r="D271" s="33">
        <v>0</v>
      </c>
      <c r="E271" s="33">
        <v>3</v>
      </c>
      <c r="F271" s="33">
        <v>5</v>
      </c>
      <c r="G271" s="33">
        <v>0</v>
      </c>
      <c r="H271" s="33">
        <v>0</v>
      </c>
    </row>
    <row r="272" ht="20.05" customHeight="1">
      <c r="A272" s="12"/>
      <c r="B272" s="13"/>
      <c r="C272" t="s" s="32">
        <v>347</v>
      </c>
      <c r="D272" s="33">
        <v>0</v>
      </c>
      <c r="E272" s="33">
        <v>6</v>
      </c>
      <c r="F272" s="33">
        <v>0</v>
      </c>
      <c r="G272" s="33">
        <v>0</v>
      </c>
      <c r="H272" s="33">
        <v>0</v>
      </c>
    </row>
    <row r="273" ht="20.05" customHeight="1">
      <c r="A273" s="12"/>
      <c r="B273" t="s" s="57">
        <v>348</v>
      </c>
      <c r="C273" t="s" s="32">
        <v>349</v>
      </c>
      <c r="D273" s="33">
        <v>0</v>
      </c>
      <c r="E273" s="33">
        <v>4</v>
      </c>
      <c r="F273" s="33">
        <v>0</v>
      </c>
      <c r="G273" s="33">
        <v>0</v>
      </c>
      <c r="H273" s="33">
        <v>0</v>
      </c>
    </row>
    <row r="274" ht="20.05" customHeight="1">
      <c r="A274" s="12"/>
      <c r="B274" s="13"/>
      <c r="C274" t="s" s="32">
        <v>350</v>
      </c>
      <c r="D274" s="33">
        <v>0</v>
      </c>
      <c r="E274" s="33">
        <v>1</v>
      </c>
      <c r="F274" s="33">
        <v>1</v>
      </c>
      <c r="G274" s="33">
        <v>0</v>
      </c>
      <c r="H274" s="33">
        <v>0</v>
      </c>
    </row>
    <row r="275" ht="20.05" customHeight="1">
      <c r="A275" s="12"/>
      <c r="B275" s="13"/>
      <c r="C275" t="s" s="32">
        <v>351</v>
      </c>
      <c r="D275" s="33">
        <v>0</v>
      </c>
      <c r="E275" s="33">
        <v>8</v>
      </c>
      <c r="F275" s="33">
        <v>5</v>
      </c>
      <c r="G275" s="33">
        <v>0</v>
      </c>
      <c r="H275" s="33">
        <v>0</v>
      </c>
    </row>
    <row r="276" ht="20.05" customHeight="1">
      <c r="A276" s="12"/>
      <c r="B276" s="13"/>
      <c r="C276" t="s" s="32">
        <v>352</v>
      </c>
      <c r="D276" s="33">
        <v>0</v>
      </c>
      <c r="E276" s="33">
        <v>5</v>
      </c>
      <c r="F276" s="33">
        <v>2</v>
      </c>
      <c r="G276" s="33">
        <v>0</v>
      </c>
      <c r="H276" s="33">
        <v>0</v>
      </c>
    </row>
    <row r="277" ht="20.05" customHeight="1">
      <c r="A277" s="12"/>
      <c r="B277" t="s" s="57">
        <v>353</v>
      </c>
      <c r="C277" t="s" s="32">
        <v>354</v>
      </c>
      <c r="D277" s="33">
        <v>0</v>
      </c>
      <c r="E277" s="33">
        <v>14</v>
      </c>
      <c r="F277" s="33">
        <v>1</v>
      </c>
      <c r="G277" s="33">
        <v>0</v>
      </c>
      <c r="H277" s="33">
        <v>0</v>
      </c>
    </row>
    <row r="278" ht="20.05" customHeight="1">
      <c r="A278" s="12"/>
      <c r="B278" s="13"/>
      <c r="C278" t="s" s="32">
        <v>355</v>
      </c>
      <c r="D278" s="33">
        <v>0</v>
      </c>
      <c r="E278" s="33">
        <v>3</v>
      </c>
      <c r="F278" s="33">
        <v>0</v>
      </c>
      <c r="G278" s="33">
        <v>0</v>
      </c>
      <c r="H278" s="33">
        <v>0</v>
      </c>
    </row>
    <row r="279" ht="20.05" customHeight="1">
      <c r="A279" t="s" s="36">
        <v>356</v>
      </c>
      <c r="B279" t="s" s="58">
        <v>357</v>
      </c>
      <c r="C279" t="s" s="38">
        <v>358</v>
      </c>
      <c r="D279" s="39">
        <v>1</v>
      </c>
      <c r="E279" s="39">
        <v>11</v>
      </c>
      <c r="F279" s="39">
        <v>0</v>
      </c>
      <c r="G279" s="39">
        <v>0</v>
      </c>
      <c r="H279" s="39">
        <v>0</v>
      </c>
    </row>
    <row r="280" ht="20.05" customHeight="1">
      <c r="A280" s="12"/>
      <c r="B280" s="13"/>
      <c r="C280" t="s" s="38">
        <v>359</v>
      </c>
      <c r="D280" s="39">
        <v>0</v>
      </c>
      <c r="E280" s="39">
        <v>5</v>
      </c>
      <c r="F280" s="39">
        <v>4</v>
      </c>
      <c r="G280" s="39">
        <v>0</v>
      </c>
      <c r="H280" s="39">
        <v>0</v>
      </c>
    </row>
    <row r="281" ht="20.05" customHeight="1">
      <c r="A281" s="12"/>
      <c r="B281" s="13"/>
      <c r="C281" t="s" s="38">
        <v>360</v>
      </c>
      <c r="D281" s="39">
        <v>0</v>
      </c>
      <c r="E281" s="39">
        <v>8</v>
      </c>
      <c r="F281" s="39">
        <v>1</v>
      </c>
      <c r="G281" s="39">
        <v>0</v>
      </c>
      <c r="H281" s="39">
        <v>0</v>
      </c>
    </row>
    <row r="282" ht="20.05" customHeight="1">
      <c r="A282" s="12"/>
      <c r="B282" t="s" s="58">
        <v>361</v>
      </c>
      <c r="C282" t="s" s="38">
        <v>362</v>
      </c>
      <c r="D282" s="39">
        <v>0</v>
      </c>
      <c r="E282" s="39">
        <v>5</v>
      </c>
      <c r="F282" s="39">
        <v>1</v>
      </c>
      <c r="G282" s="39">
        <v>0</v>
      </c>
      <c r="H282" s="39">
        <v>0</v>
      </c>
    </row>
    <row r="283" ht="20.05" customHeight="1">
      <c r="A283" s="12"/>
      <c r="B283" s="13"/>
      <c r="C283" t="s" s="38">
        <v>363</v>
      </c>
      <c r="D283" s="39">
        <v>0</v>
      </c>
      <c r="E283" s="39">
        <v>2</v>
      </c>
      <c r="F283" s="39">
        <v>1</v>
      </c>
      <c r="G283" s="39">
        <v>0</v>
      </c>
      <c r="H283" s="39">
        <v>0</v>
      </c>
    </row>
    <row r="284" ht="20.05" customHeight="1">
      <c r="A284" s="12"/>
      <c r="B284" s="13"/>
      <c r="C284" t="s" s="38">
        <v>364</v>
      </c>
      <c r="D284" s="39">
        <v>1</v>
      </c>
      <c r="E284" s="39">
        <v>6</v>
      </c>
      <c r="F284" s="39">
        <v>1</v>
      </c>
      <c r="G284" s="39">
        <v>0</v>
      </c>
      <c r="H284" s="39">
        <v>0</v>
      </c>
    </row>
    <row r="285" ht="20.05" customHeight="1">
      <c r="A285" s="12"/>
      <c r="B285" s="13"/>
      <c r="C285" t="s" s="38">
        <v>365</v>
      </c>
      <c r="D285" s="39">
        <v>0</v>
      </c>
      <c r="E285" s="39">
        <v>4</v>
      </c>
      <c r="F285" s="39">
        <v>7</v>
      </c>
      <c r="G285" s="39">
        <v>0</v>
      </c>
      <c r="H285" s="39">
        <v>0</v>
      </c>
    </row>
    <row r="286" ht="20.05" customHeight="1">
      <c r="A286" s="12"/>
      <c r="B286" s="13"/>
      <c r="C286" t="s" s="38">
        <v>366</v>
      </c>
      <c r="D286" s="39">
        <v>1</v>
      </c>
      <c r="E286" s="39">
        <v>8</v>
      </c>
      <c r="F286" s="39">
        <v>9</v>
      </c>
      <c r="G286" s="39">
        <v>1</v>
      </c>
      <c r="H286" s="39">
        <v>0</v>
      </c>
    </row>
    <row r="287" ht="20.05" customHeight="1">
      <c r="A287" s="12"/>
      <c r="B287" s="13"/>
      <c r="C287" t="s" s="38">
        <v>367</v>
      </c>
      <c r="D287" s="39">
        <v>0</v>
      </c>
      <c r="E287" s="39">
        <v>1</v>
      </c>
      <c r="F287" s="39">
        <v>0</v>
      </c>
      <c r="G287" s="39">
        <v>0</v>
      </c>
      <c r="H287" s="39">
        <v>0</v>
      </c>
    </row>
    <row r="288" ht="20.05" customHeight="1">
      <c r="A288" s="12"/>
      <c r="B288" s="13"/>
      <c r="C288" t="s" s="38">
        <v>368</v>
      </c>
      <c r="D288" s="39">
        <v>0</v>
      </c>
      <c r="E288" s="39">
        <v>8</v>
      </c>
      <c r="F288" s="39">
        <v>2</v>
      </c>
      <c r="G288" s="39">
        <v>0</v>
      </c>
      <c r="H288" s="39">
        <v>0</v>
      </c>
    </row>
    <row r="289" ht="20.05" customHeight="1">
      <c r="A289" s="12"/>
      <c r="B289" t="s" s="58">
        <v>369</v>
      </c>
      <c r="C289" t="s" s="38">
        <v>286</v>
      </c>
      <c r="D289" s="39">
        <v>0</v>
      </c>
      <c r="E289" s="39">
        <v>1</v>
      </c>
      <c r="F289" s="39">
        <v>1</v>
      </c>
      <c r="G289" s="39">
        <v>0</v>
      </c>
      <c r="H289" s="39">
        <v>0</v>
      </c>
    </row>
    <row r="290" ht="20.05" customHeight="1">
      <c r="A290" s="12"/>
      <c r="B290" s="13"/>
      <c r="C290" t="s" s="38">
        <v>280</v>
      </c>
      <c r="D290" s="39">
        <v>0</v>
      </c>
      <c r="E290" s="39">
        <v>2</v>
      </c>
      <c r="F290" s="39">
        <v>0</v>
      </c>
      <c r="G290" s="39">
        <v>0</v>
      </c>
      <c r="H290" s="39">
        <v>0</v>
      </c>
    </row>
    <row r="291" ht="32.05" customHeight="1">
      <c r="A291" s="12"/>
      <c r="B291" t="s" s="58">
        <v>370</v>
      </c>
      <c r="C291" t="s" s="38">
        <v>371</v>
      </c>
      <c r="D291" s="39">
        <v>0</v>
      </c>
      <c r="E291" s="39">
        <v>9</v>
      </c>
      <c r="F291" s="39">
        <v>1</v>
      </c>
      <c r="G291" s="39">
        <v>0</v>
      </c>
      <c r="H291" s="39">
        <v>0</v>
      </c>
    </row>
    <row r="292" ht="20.05" customHeight="1">
      <c r="A292" s="12"/>
      <c r="B292" s="13"/>
      <c r="C292" t="s" s="38">
        <v>372</v>
      </c>
      <c r="D292" s="39">
        <v>0</v>
      </c>
      <c r="E292" s="39">
        <v>0</v>
      </c>
      <c r="F292" s="39">
        <v>3</v>
      </c>
      <c r="G292" s="39">
        <v>0</v>
      </c>
      <c r="H292" s="39">
        <v>0</v>
      </c>
    </row>
    <row r="293" ht="20.05" customHeight="1">
      <c r="A293" s="12"/>
      <c r="B293" s="13"/>
      <c r="C293" t="s" s="38">
        <v>373</v>
      </c>
      <c r="D293" s="39">
        <v>0</v>
      </c>
      <c r="E293" s="39">
        <v>0</v>
      </c>
      <c r="F293" s="39">
        <v>1</v>
      </c>
      <c r="G293" s="39">
        <v>0</v>
      </c>
      <c r="H293" s="39">
        <v>0</v>
      </c>
    </row>
    <row r="294" ht="20.05" customHeight="1">
      <c r="A294" s="12"/>
      <c r="B294" s="13"/>
      <c r="C294" t="s" s="38">
        <v>374</v>
      </c>
      <c r="D294" s="39">
        <v>0</v>
      </c>
      <c r="E294" s="39">
        <v>5</v>
      </c>
      <c r="F294" s="39">
        <v>2</v>
      </c>
      <c r="G294" s="39">
        <v>0</v>
      </c>
      <c r="H294" s="39">
        <v>0</v>
      </c>
    </row>
    <row r="295" ht="20.05" customHeight="1">
      <c r="A295" s="12"/>
      <c r="B295" t="s" s="58">
        <v>375</v>
      </c>
      <c r="C295" t="s" s="38">
        <v>376</v>
      </c>
      <c r="D295" s="39">
        <v>0</v>
      </c>
      <c r="E295" s="39">
        <v>7</v>
      </c>
      <c r="F295" s="39">
        <v>1</v>
      </c>
      <c r="G295" s="39">
        <v>0</v>
      </c>
      <c r="H295" s="39">
        <v>1</v>
      </c>
    </row>
    <row r="296" ht="20.05" customHeight="1">
      <c r="A296" s="12"/>
      <c r="B296" s="13"/>
      <c r="C296" t="s" s="38">
        <v>377</v>
      </c>
      <c r="D296" s="39">
        <v>1</v>
      </c>
      <c r="E296" s="39">
        <v>6</v>
      </c>
      <c r="F296" s="39">
        <v>5</v>
      </c>
      <c r="G296" s="39">
        <v>0</v>
      </c>
      <c r="H296" s="39">
        <v>1</v>
      </c>
    </row>
    <row r="297" ht="20.05" customHeight="1">
      <c r="A297" s="12"/>
      <c r="B297" s="13"/>
      <c r="C297" t="s" s="38">
        <v>378</v>
      </c>
      <c r="D297" s="39">
        <v>0</v>
      </c>
      <c r="E297" s="39">
        <v>13</v>
      </c>
      <c r="F297" s="39">
        <v>8</v>
      </c>
      <c r="G297" s="39">
        <v>0</v>
      </c>
      <c r="H297" s="39">
        <v>0</v>
      </c>
    </row>
    <row r="298" ht="20.05" customHeight="1">
      <c r="A298" t="s" s="59">
        <v>379</v>
      </c>
      <c r="B298" t="s" s="60">
        <v>380</v>
      </c>
      <c r="C298" t="s" s="61">
        <v>381</v>
      </c>
      <c r="D298" s="62">
        <v>1</v>
      </c>
      <c r="E298" s="62">
        <v>7</v>
      </c>
      <c r="F298" s="62">
        <v>0</v>
      </c>
      <c r="G298" s="62">
        <v>0</v>
      </c>
      <c r="H298" s="62">
        <v>0</v>
      </c>
    </row>
    <row r="299" ht="20.05" customHeight="1">
      <c r="A299" s="12"/>
      <c r="B299" s="13"/>
      <c r="C299" t="s" s="61">
        <v>382</v>
      </c>
      <c r="D299" s="62">
        <v>0</v>
      </c>
      <c r="E299" s="62">
        <v>2</v>
      </c>
      <c r="F299" s="62">
        <v>1</v>
      </c>
      <c r="G299" s="62">
        <v>0</v>
      </c>
      <c r="H299" s="62">
        <v>0</v>
      </c>
    </row>
    <row r="300" ht="20.05" customHeight="1">
      <c r="A300" s="12"/>
      <c r="B300" s="13"/>
      <c r="C300" t="s" s="61">
        <v>383</v>
      </c>
      <c r="D300" s="62">
        <v>0</v>
      </c>
      <c r="E300" s="62">
        <v>2</v>
      </c>
      <c r="F300" s="62">
        <v>0</v>
      </c>
      <c r="G300" s="62">
        <v>0</v>
      </c>
      <c r="H300" s="62">
        <v>0</v>
      </c>
    </row>
    <row r="301" ht="20.05" customHeight="1">
      <c r="A301" s="12"/>
      <c r="B301" s="13"/>
      <c r="C301" t="s" s="61">
        <v>384</v>
      </c>
      <c r="D301" s="62">
        <v>0</v>
      </c>
      <c r="E301" s="62">
        <v>5</v>
      </c>
      <c r="F301" s="62">
        <v>2</v>
      </c>
      <c r="G301" s="62">
        <v>0</v>
      </c>
      <c r="H301" s="62">
        <v>0</v>
      </c>
    </row>
    <row r="302" ht="20.05" customHeight="1">
      <c r="A302" s="12"/>
      <c r="B302" s="13"/>
      <c r="C302" t="s" s="61">
        <v>385</v>
      </c>
      <c r="D302" s="62">
        <v>0</v>
      </c>
      <c r="E302" s="62">
        <v>8</v>
      </c>
      <c r="F302" s="62">
        <v>1</v>
      </c>
      <c r="G302" s="62">
        <v>0</v>
      </c>
      <c r="H302" s="62">
        <v>0</v>
      </c>
    </row>
    <row r="303" ht="20.05" customHeight="1">
      <c r="A303" s="12"/>
      <c r="B303" s="13"/>
      <c r="C303" t="s" s="61">
        <v>386</v>
      </c>
      <c r="D303" s="62">
        <v>0</v>
      </c>
      <c r="E303" s="62">
        <v>5</v>
      </c>
      <c r="F303" s="62">
        <v>1</v>
      </c>
      <c r="G303" s="62">
        <v>0</v>
      </c>
      <c r="H303" s="62">
        <v>0</v>
      </c>
    </row>
    <row r="304" ht="20.05" customHeight="1">
      <c r="A304" s="12"/>
      <c r="B304" s="13"/>
      <c r="C304" t="s" s="61">
        <v>387</v>
      </c>
      <c r="D304" s="62">
        <v>0</v>
      </c>
      <c r="E304" s="62">
        <v>2</v>
      </c>
      <c r="F304" s="62">
        <v>0</v>
      </c>
      <c r="G304" s="62">
        <v>0</v>
      </c>
      <c r="H304" s="62">
        <v>0</v>
      </c>
    </row>
    <row r="305" ht="20.05" customHeight="1">
      <c r="A305" s="12"/>
      <c r="B305" s="13"/>
      <c r="C305" t="s" s="61">
        <v>388</v>
      </c>
      <c r="D305" s="62">
        <v>0</v>
      </c>
      <c r="E305" s="62">
        <v>2</v>
      </c>
      <c r="F305" s="62">
        <v>0</v>
      </c>
      <c r="G305" s="62">
        <v>0</v>
      </c>
      <c r="H305" s="62">
        <v>0</v>
      </c>
    </row>
    <row r="306" ht="20.05" customHeight="1">
      <c r="A306" s="12"/>
      <c r="B306" s="13"/>
      <c r="C306" t="s" s="61">
        <v>389</v>
      </c>
      <c r="D306" s="62">
        <v>0</v>
      </c>
      <c r="E306" s="62">
        <v>2</v>
      </c>
      <c r="F306" s="62">
        <v>0</v>
      </c>
      <c r="G306" s="62">
        <v>0</v>
      </c>
      <c r="H306" s="62">
        <v>0</v>
      </c>
    </row>
    <row r="307" ht="22.95" customHeight="1">
      <c r="A307" s="12"/>
      <c r="B307" t="s" s="60">
        <v>390</v>
      </c>
      <c r="C307" t="s" s="61">
        <v>390</v>
      </c>
      <c r="D307" s="62">
        <v>0</v>
      </c>
      <c r="E307" s="62">
        <v>6</v>
      </c>
      <c r="F307" s="62">
        <v>1</v>
      </c>
      <c r="G307" s="62">
        <v>1</v>
      </c>
      <c r="H307" s="62">
        <v>0</v>
      </c>
    </row>
    <row r="308" ht="20.05" customHeight="1">
      <c r="A308" s="12"/>
      <c r="B308" t="s" s="60">
        <v>391</v>
      </c>
      <c r="C308" t="s" s="61">
        <v>392</v>
      </c>
      <c r="D308" s="62">
        <v>1</v>
      </c>
      <c r="E308" s="62">
        <v>4</v>
      </c>
      <c r="F308" s="62">
        <v>2</v>
      </c>
      <c r="G308" s="62">
        <v>0</v>
      </c>
      <c r="H308" s="62">
        <v>1</v>
      </c>
    </row>
    <row r="309" ht="20.05" customHeight="1">
      <c r="A309" s="12"/>
      <c r="B309" s="13"/>
      <c r="C309" t="s" s="61">
        <v>393</v>
      </c>
      <c r="D309" s="62">
        <v>1</v>
      </c>
      <c r="E309" s="62">
        <v>4</v>
      </c>
      <c r="F309" s="62">
        <v>3</v>
      </c>
      <c r="G309" s="62">
        <v>0</v>
      </c>
      <c r="H309" s="62">
        <v>0</v>
      </c>
    </row>
    <row r="310" ht="32.05" customHeight="1">
      <c r="A310" s="12"/>
      <c r="B310" s="13"/>
      <c r="C310" t="s" s="61">
        <v>394</v>
      </c>
      <c r="D310" s="62">
        <v>1</v>
      </c>
      <c r="E310" s="62">
        <v>8</v>
      </c>
      <c r="F310" s="62">
        <v>5</v>
      </c>
      <c r="G310" s="62">
        <v>0</v>
      </c>
      <c r="H310" s="62">
        <v>0</v>
      </c>
    </row>
    <row r="311" ht="20.05" customHeight="1">
      <c r="A311" s="12"/>
      <c r="B311" s="13"/>
      <c r="C311" t="s" s="61">
        <v>395</v>
      </c>
      <c r="D311" s="62">
        <v>0</v>
      </c>
      <c r="E311" s="62">
        <v>2</v>
      </c>
      <c r="F311" s="62">
        <v>2</v>
      </c>
      <c r="G311" s="62">
        <v>0</v>
      </c>
      <c r="H311" s="62">
        <v>0</v>
      </c>
    </row>
    <row r="312" ht="20.05" customHeight="1">
      <c r="A312" s="12"/>
      <c r="B312" t="s" s="60">
        <v>396</v>
      </c>
      <c r="C312" t="s" s="61">
        <v>397</v>
      </c>
      <c r="D312" s="62">
        <v>0</v>
      </c>
      <c r="E312" s="62">
        <v>0</v>
      </c>
      <c r="F312" s="62">
        <v>3</v>
      </c>
      <c r="G312" s="62">
        <v>0</v>
      </c>
      <c r="H312" s="62">
        <v>0</v>
      </c>
    </row>
    <row r="313" ht="20.05" customHeight="1">
      <c r="A313" s="12"/>
      <c r="B313" s="13"/>
      <c r="C313" t="s" s="61">
        <v>398</v>
      </c>
      <c r="D313" s="62">
        <v>0</v>
      </c>
      <c r="E313" s="62">
        <v>6</v>
      </c>
      <c r="F313" s="62">
        <v>0</v>
      </c>
      <c r="G313" s="62">
        <v>0</v>
      </c>
      <c r="H313" s="62">
        <v>0</v>
      </c>
    </row>
    <row r="314" ht="20.05" customHeight="1">
      <c r="A314" t="s" s="63">
        <v>399</v>
      </c>
      <c r="B314" t="s" s="64">
        <v>400</v>
      </c>
      <c r="C314" t="s" s="65">
        <v>401</v>
      </c>
      <c r="D314" s="66">
        <v>0</v>
      </c>
      <c r="E314" s="66">
        <v>8</v>
      </c>
      <c r="F314" s="66">
        <v>3</v>
      </c>
      <c r="G314" s="66">
        <v>0</v>
      </c>
      <c r="H314" s="66">
        <v>0</v>
      </c>
    </row>
    <row r="315" ht="20.05" customHeight="1">
      <c r="A315" s="12"/>
      <c r="B315" s="13"/>
      <c r="C315" t="s" s="65">
        <v>402</v>
      </c>
      <c r="D315" s="66">
        <v>0</v>
      </c>
      <c r="E315" s="66">
        <v>9</v>
      </c>
      <c r="F315" s="66">
        <v>0</v>
      </c>
      <c r="G315" s="66">
        <v>0</v>
      </c>
      <c r="H315" s="66">
        <v>0</v>
      </c>
    </row>
    <row r="316" ht="20.05" customHeight="1">
      <c r="A316" s="12"/>
      <c r="B316" s="13"/>
      <c r="C316" t="s" s="67">
        <v>403</v>
      </c>
      <c r="D316" s="66">
        <v>0</v>
      </c>
      <c r="E316" s="66">
        <v>0</v>
      </c>
      <c r="F316" s="66">
        <v>0</v>
      </c>
      <c r="G316" s="66">
        <v>0</v>
      </c>
      <c r="H316" s="66">
        <v>0</v>
      </c>
    </row>
    <row r="317" ht="20.05" customHeight="1">
      <c r="A317" s="12"/>
      <c r="B317" s="13"/>
      <c r="C317" t="s" s="65">
        <v>404</v>
      </c>
      <c r="D317" s="66">
        <v>0</v>
      </c>
      <c r="E317" s="66">
        <v>2</v>
      </c>
      <c r="F317" s="66">
        <v>0</v>
      </c>
      <c r="G317" s="66">
        <v>0</v>
      </c>
      <c r="H317" s="66">
        <v>0</v>
      </c>
    </row>
    <row r="318" ht="20.05" customHeight="1">
      <c r="A318" s="12"/>
      <c r="B318" s="13"/>
      <c r="C318" t="s" s="67">
        <v>405</v>
      </c>
      <c r="D318" s="66">
        <v>0</v>
      </c>
      <c r="E318" s="66">
        <v>0</v>
      </c>
      <c r="F318" s="66">
        <v>0</v>
      </c>
      <c r="G318" s="66">
        <v>0</v>
      </c>
      <c r="H318" s="66">
        <v>0</v>
      </c>
    </row>
    <row r="319" ht="20.05" customHeight="1">
      <c r="A319" s="12"/>
      <c r="B319" t="s" s="64">
        <v>406</v>
      </c>
      <c r="C319" t="s" s="65">
        <v>407</v>
      </c>
      <c r="D319" s="66">
        <v>0</v>
      </c>
      <c r="E319" s="66">
        <v>5</v>
      </c>
      <c r="F319" s="66">
        <v>2</v>
      </c>
      <c r="G319" s="66">
        <v>0</v>
      </c>
      <c r="H319" s="66">
        <v>0</v>
      </c>
    </row>
    <row r="320" ht="20.05" customHeight="1">
      <c r="A320" s="12"/>
      <c r="B320" s="13"/>
      <c r="C320" t="s" s="65">
        <v>408</v>
      </c>
      <c r="D320" s="66">
        <v>0</v>
      </c>
      <c r="E320" s="66">
        <v>1</v>
      </c>
      <c r="F320" s="66">
        <v>1</v>
      </c>
      <c r="G320" s="66">
        <v>0</v>
      </c>
      <c r="H320" s="66">
        <v>0</v>
      </c>
    </row>
    <row r="321" ht="22.95" customHeight="1">
      <c r="A321" s="12"/>
      <c r="B321" t="s" s="64">
        <v>409</v>
      </c>
      <c r="C321" t="s" s="65">
        <v>410</v>
      </c>
      <c r="D321" s="66">
        <v>0</v>
      </c>
      <c r="E321" s="66">
        <v>4</v>
      </c>
      <c r="F321" s="66">
        <v>2</v>
      </c>
      <c r="G321" s="66">
        <v>0</v>
      </c>
      <c r="H321" s="66">
        <v>0</v>
      </c>
    </row>
    <row r="322" ht="20.05" customHeight="1">
      <c r="A322" s="12"/>
      <c r="B322" t="s" s="64">
        <v>411</v>
      </c>
      <c r="C322" t="s" s="65">
        <v>412</v>
      </c>
      <c r="D322" s="66">
        <v>0</v>
      </c>
      <c r="E322" s="66">
        <v>9</v>
      </c>
      <c r="F322" s="66">
        <v>2</v>
      </c>
      <c r="G322" s="66">
        <v>0</v>
      </c>
      <c r="H322" s="66">
        <v>0</v>
      </c>
    </row>
    <row r="323" ht="20.05" customHeight="1">
      <c r="A323" s="12"/>
      <c r="B323" s="13"/>
      <c r="C323" t="s" s="65">
        <v>413</v>
      </c>
      <c r="D323" s="66">
        <v>0</v>
      </c>
      <c r="E323" s="66">
        <v>2</v>
      </c>
      <c r="F323" s="66">
        <v>4</v>
      </c>
      <c r="G323" s="66">
        <v>0</v>
      </c>
      <c r="H323" s="66">
        <v>0</v>
      </c>
    </row>
    <row r="324" ht="20.05" customHeight="1">
      <c r="A324" s="12"/>
      <c r="B324" s="13"/>
      <c r="C324" t="s" s="65">
        <v>414</v>
      </c>
      <c r="D324" s="66">
        <v>0</v>
      </c>
      <c r="E324" s="66">
        <v>13</v>
      </c>
      <c r="F324" s="66">
        <v>1</v>
      </c>
      <c r="G324" s="66">
        <v>0</v>
      </c>
      <c r="H324" s="66">
        <v>0</v>
      </c>
    </row>
    <row r="325" ht="20.05" customHeight="1">
      <c r="A325" s="12"/>
      <c r="B325" s="13"/>
      <c r="C325" t="s" s="65">
        <v>415</v>
      </c>
      <c r="D325" s="66">
        <v>0</v>
      </c>
      <c r="E325" s="66">
        <v>1</v>
      </c>
      <c r="F325" s="66">
        <v>2</v>
      </c>
      <c r="G325" s="66">
        <v>0</v>
      </c>
      <c r="H325" s="66">
        <v>0</v>
      </c>
    </row>
    <row r="326" ht="20.05" customHeight="1">
      <c r="A326" s="12"/>
      <c r="B326" s="13"/>
      <c r="C326" t="s" s="65">
        <v>416</v>
      </c>
      <c r="D326" s="66">
        <v>0</v>
      </c>
      <c r="E326" s="66">
        <v>4</v>
      </c>
      <c r="F326" s="66">
        <v>0</v>
      </c>
      <c r="G326" s="66">
        <v>0</v>
      </c>
      <c r="H326" s="66">
        <v>0</v>
      </c>
    </row>
    <row r="327" ht="20.05" customHeight="1">
      <c r="A327" s="12"/>
      <c r="B327" t="s" s="64">
        <v>417</v>
      </c>
      <c r="C327" t="s" s="65">
        <v>418</v>
      </c>
      <c r="D327" s="66">
        <v>0</v>
      </c>
      <c r="E327" s="66">
        <v>0</v>
      </c>
      <c r="F327" s="66">
        <v>1</v>
      </c>
      <c r="G327" s="66">
        <v>0</v>
      </c>
      <c r="H327" s="66">
        <v>0</v>
      </c>
    </row>
    <row r="328" ht="20.05" customHeight="1">
      <c r="A328" s="12"/>
      <c r="B328" s="13"/>
      <c r="C328" t="s" s="65">
        <v>419</v>
      </c>
      <c r="D328" s="66">
        <v>0</v>
      </c>
      <c r="E328" s="66">
        <v>15</v>
      </c>
      <c r="F328" s="66">
        <v>1</v>
      </c>
      <c r="G328" s="66">
        <v>0</v>
      </c>
      <c r="H328" s="66">
        <v>0</v>
      </c>
    </row>
    <row r="329" ht="20.05" customHeight="1">
      <c r="A329" s="12"/>
      <c r="B329" s="13"/>
      <c r="C329" t="s" s="65">
        <v>420</v>
      </c>
      <c r="D329" s="66">
        <v>0</v>
      </c>
      <c r="E329" s="68">
        <v>37</v>
      </c>
      <c r="F329" s="66">
        <v>2</v>
      </c>
      <c r="G329" s="66">
        <v>0</v>
      </c>
      <c r="H329" s="66">
        <v>0</v>
      </c>
    </row>
    <row r="330" ht="20.05" customHeight="1">
      <c r="A330" s="12"/>
      <c r="B330" s="13"/>
      <c r="C330" t="s" s="67">
        <v>421</v>
      </c>
      <c r="D330" s="66">
        <v>0</v>
      </c>
      <c r="E330" s="68">
        <v>0</v>
      </c>
      <c r="F330" s="66">
        <v>0</v>
      </c>
      <c r="G330" s="66">
        <v>0</v>
      </c>
      <c r="H330" s="66">
        <v>0</v>
      </c>
    </row>
    <row r="331" ht="20.05" customHeight="1">
      <c r="A331" s="12"/>
      <c r="B331" s="13"/>
      <c r="C331" t="s" s="67">
        <v>422</v>
      </c>
      <c r="D331" s="66">
        <v>0</v>
      </c>
      <c r="E331" s="68">
        <v>0</v>
      </c>
      <c r="F331" s="66">
        <v>0</v>
      </c>
      <c r="G331" s="66">
        <v>0</v>
      </c>
      <c r="H331" s="66">
        <v>0</v>
      </c>
    </row>
    <row r="332" ht="20.05" customHeight="1">
      <c r="A332" s="12"/>
      <c r="B332" t="s" s="64">
        <v>423</v>
      </c>
      <c r="C332" t="s" s="65">
        <v>424</v>
      </c>
      <c r="D332" s="66">
        <v>0</v>
      </c>
      <c r="E332" s="66">
        <v>3</v>
      </c>
      <c r="F332" s="66">
        <v>0</v>
      </c>
      <c r="G332" s="66">
        <v>0</v>
      </c>
      <c r="H332" s="66">
        <v>0</v>
      </c>
    </row>
    <row r="333" ht="20.05" customHeight="1">
      <c r="A333" s="12"/>
      <c r="B333" s="13"/>
      <c r="C333" t="s" s="65">
        <v>425</v>
      </c>
      <c r="D333" s="66">
        <v>0</v>
      </c>
      <c r="E333" s="66">
        <v>1</v>
      </c>
      <c r="F333" s="66">
        <v>2</v>
      </c>
      <c r="G333" s="66">
        <v>0</v>
      </c>
      <c r="H333" s="66">
        <v>0</v>
      </c>
    </row>
    <row r="334" ht="20.05" customHeight="1">
      <c r="A334" s="12"/>
      <c r="B334" s="13"/>
      <c r="C334" t="s" s="65">
        <v>426</v>
      </c>
      <c r="D334" s="66">
        <v>0</v>
      </c>
      <c r="E334" s="66">
        <v>3</v>
      </c>
      <c r="F334" s="66">
        <v>0</v>
      </c>
      <c r="G334" s="66">
        <v>0</v>
      </c>
      <c r="H334" s="66">
        <v>0</v>
      </c>
    </row>
    <row r="335" ht="20.05" customHeight="1">
      <c r="A335" s="12"/>
      <c r="B335" s="13"/>
      <c r="C335" t="s" s="65">
        <v>427</v>
      </c>
      <c r="D335" s="66">
        <v>0</v>
      </c>
      <c r="E335" s="66">
        <v>2</v>
      </c>
      <c r="F335" s="66">
        <v>0</v>
      </c>
      <c r="G335" s="66">
        <v>0</v>
      </c>
      <c r="H335" s="66">
        <v>0</v>
      </c>
    </row>
    <row r="336" ht="20.05" customHeight="1">
      <c r="A336" s="12"/>
      <c r="B336" s="13"/>
      <c r="C336" t="s" s="65">
        <v>428</v>
      </c>
      <c r="D336" s="66">
        <v>0</v>
      </c>
      <c r="E336" s="66">
        <v>11</v>
      </c>
      <c r="F336" s="66">
        <v>0</v>
      </c>
      <c r="G336" s="66">
        <v>0</v>
      </c>
      <c r="H336" s="66">
        <v>0</v>
      </c>
    </row>
    <row r="337" ht="22.95" customHeight="1">
      <c r="A337" s="12"/>
      <c r="B337" t="s" s="64">
        <v>429</v>
      </c>
      <c r="C337" t="s" s="65">
        <v>429</v>
      </c>
      <c r="D337" s="66">
        <v>0</v>
      </c>
      <c r="E337" s="66">
        <v>2</v>
      </c>
      <c r="F337" s="66">
        <v>3</v>
      </c>
      <c r="G337" s="66">
        <v>0</v>
      </c>
      <c r="H337" s="66">
        <v>0</v>
      </c>
    </row>
    <row r="338" ht="20.05" customHeight="1">
      <c r="A338" s="12"/>
      <c r="B338" t="s" s="64">
        <v>430</v>
      </c>
      <c r="C338" t="s" s="65">
        <v>431</v>
      </c>
      <c r="D338" s="66">
        <v>0</v>
      </c>
      <c r="E338" s="66">
        <v>5</v>
      </c>
      <c r="F338" s="66">
        <v>1</v>
      </c>
      <c r="G338" s="66">
        <v>0</v>
      </c>
      <c r="H338" s="66">
        <v>0</v>
      </c>
    </row>
    <row r="339" ht="20.05" customHeight="1">
      <c r="A339" s="12"/>
      <c r="B339" s="13"/>
      <c r="C339" t="s" s="65">
        <v>432</v>
      </c>
      <c r="D339" s="66">
        <v>0</v>
      </c>
      <c r="E339" s="66">
        <v>6</v>
      </c>
      <c r="F339" s="66">
        <v>1</v>
      </c>
      <c r="G339" s="66">
        <v>0</v>
      </c>
      <c r="H339" s="66">
        <v>0</v>
      </c>
    </row>
    <row r="340" ht="20.05" customHeight="1">
      <c r="A340" s="12"/>
      <c r="B340" t="s" s="64">
        <v>433</v>
      </c>
      <c r="C340" t="s" s="65">
        <v>433</v>
      </c>
      <c r="D340" s="66">
        <v>0</v>
      </c>
      <c r="E340" s="66">
        <v>11</v>
      </c>
      <c r="F340" s="66">
        <v>2</v>
      </c>
      <c r="G340" s="66">
        <v>0</v>
      </c>
      <c r="H340" s="66">
        <v>0</v>
      </c>
    </row>
    <row r="341" ht="20.05" customHeight="1">
      <c r="A341" s="12"/>
      <c r="B341" s="13"/>
      <c r="C341" t="s" s="65">
        <v>434</v>
      </c>
      <c r="D341" s="66">
        <v>0</v>
      </c>
      <c r="E341" s="66">
        <v>3</v>
      </c>
      <c r="F341" s="66">
        <v>2</v>
      </c>
      <c r="G341" s="66">
        <v>0</v>
      </c>
      <c r="H341" s="66">
        <v>0</v>
      </c>
    </row>
    <row r="342" ht="22.95" customHeight="1">
      <c r="A342" s="12"/>
      <c r="B342" t="s" s="64">
        <v>435</v>
      </c>
      <c r="C342" t="s" s="65">
        <v>436</v>
      </c>
      <c r="D342" s="66">
        <v>0</v>
      </c>
      <c r="E342" s="66">
        <v>0</v>
      </c>
      <c r="F342" s="66">
        <v>4</v>
      </c>
      <c r="G342" s="66">
        <v>0</v>
      </c>
      <c r="H342" s="66">
        <v>0</v>
      </c>
    </row>
    <row r="343" ht="20.05" customHeight="1">
      <c r="A343" s="12"/>
      <c r="B343" t="s" s="64">
        <v>437</v>
      </c>
      <c r="C343" t="s" s="65">
        <v>438</v>
      </c>
      <c r="D343" s="66">
        <v>1</v>
      </c>
      <c r="E343" s="66">
        <v>8</v>
      </c>
      <c r="F343" s="66">
        <v>0</v>
      </c>
      <c r="G343" s="66">
        <v>0</v>
      </c>
      <c r="H343" s="66">
        <v>1</v>
      </c>
    </row>
    <row r="344" ht="20.05" customHeight="1">
      <c r="A344" s="12"/>
      <c r="B344" s="13"/>
      <c r="C344" t="s" s="65">
        <v>439</v>
      </c>
      <c r="D344" s="66">
        <v>1</v>
      </c>
      <c r="E344" s="66">
        <v>6</v>
      </c>
      <c r="F344" s="66">
        <v>0</v>
      </c>
      <c r="G344" s="66">
        <v>0</v>
      </c>
      <c r="H344" s="66">
        <v>0</v>
      </c>
    </row>
    <row r="345" ht="20.05" customHeight="1">
      <c r="A345" s="12"/>
      <c r="B345" s="13"/>
      <c r="C345" t="s" s="65">
        <v>440</v>
      </c>
      <c r="D345" s="66">
        <v>0</v>
      </c>
      <c r="E345" s="66">
        <v>5</v>
      </c>
      <c r="F345" s="66">
        <v>0</v>
      </c>
      <c r="G345" s="66">
        <v>0</v>
      </c>
      <c r="H345" s="66">
        <v>0</v>
      </c>
    </row>
    <row r="346" ht="20.05" customHeight="1">
      <c r="A346" s="12"/>
      <c r="B346" s="13"/>
      <c r="C346" t="s" s="65">
        <v>441</v>
      </c>
      <c r="D346" s="66">
        <v>0</v>
      </c>
      <c r="E346" s="66">
        <v>7</v>
      </c>
      <c r="F346" s="66">
        <v>0</v>
      </c>
      <c r="G346" s="66">
        <v>0</v>
      </c>
      <c r="H346" s="66">
        <v>0</v>
      </c>
    </row>
    <row r="347" ht="22" customHeight="1">
      <c r="A347" s="12"/>
      <c r="B347" t="s" s="69">
        <v>442</v>
      </c>
      <c r="C347" t="s" s="65">
        <v>443</v>
      </c>
      <c r="D347" s="66">
        <v>1</v>
      </c>
      <c r="E347" s="66">
        <v>10</v>
      </c>
      <c r="F347" s="66">
        <v>0</v>
      </c>
      <c r="G347" s="66">
        <v>0</v>
      </c>
      <c r="H347" s="66">
        <v>0</v>
      </c>
    </row>
    <row r="348" ht="20.05" customHeight="1">
      <c r="A348" s="12"/>
      <c r="B348" t="s" s="69">
        <v>444</v>
      </c>
      <c r="C348" t="s" s="65">
        <v>445</v>
      </c>
      <c r="D348" s="66">
        <v>0</v>
      </c>
      <c r="E348" s="66">
        <v>13</v>
      </c>
      <c r="F348" s="66">
        <v>1</v>
      </c>
      <c r="G348" s="66">
        <v>0</v>
      </c>
      <c r="H348" s="66">
        <v>0</v>
      </c>
    </row>
    <row r="349" ht="20.05" customHeight="1">
      <c r="A349" s="12"/>
      <c r="B349" s="13"/>
      <c r="C349" t="s" s="65">
        <v>446</v>
      </c>
      <c r="D349" s="66">
        <v>0</v>
      </c>
      <c r="E349" s="66">
        <v>2</v>
      </c>
      <c r="F349" s="66">
        <v>1</v>
      </c>
      <c r="G349" s="66">
        <v>0</v>
      </c>
      <c r="H349" s="66">
        <v>0</v>
      </c>
    </row>
    <row r="350" ht="20.05" customHeight="1">
      <c r="A350" s="12"/>
      <c r="B350" s="13"/>
      <c r="C350" t="s" s="65">
        <v>447</v>
      </c>
      <c r="D350" s="66">
        <v>0</v>
      </c>
      <c r="E350" s="66">
        <v>2</v>
      </c>
      <c r="F350" s="66">
        <v>0</v>
      </c>
      <c r="G350" s="66">
        <v>0</v>
      </c>
      <c r="H350" s="66">
        <v>0</v>
      </c>
    </row>
    <row r="351" ht="30.8" customHeight="1">
      <c r="A351" t="s" s="70">
        <v>448</v>
      </c>
      <c r="B351" s="13"/>
      <c r="C351" s="14"/>
      <c r="D351" s="71"/>
      <c r="E351" s="71"/>
      <c r="F351" s="71"/>
      <c r="G351" s="71"/>
      <c r="H351" s="71"/>
    </row>
    <row r="353" ht="31.55" customHeight="1">
      <c r="I353" t="s" s="73">
        <v>449</v>
      </c>
      <c r="J353" s="73"/>
      <c r="K353" s="73"/>
      <c r="L353" s="73"/>
      <c r="M353" s="73"/>
      <c r="N353" s="73"/>
      <c r="O353" s="73"/>
      <c r="P353" s="73"/>
    </row>
    <row r="354" ht="44.25" customHeight="1">
      <c r="I354" s="4"/>
      <c r="J354" t="s" s="74">
        <v>2</v>
      </c>
      <c r="K354" t="s" s="74">
        <v>3</v>
      </c>
      <c r="L354" t="s" s="74">
        <v>4</v>
      </c>
      <c r="M354" t="s" s="74">
        <v>450</v>
      </c>
      <c r="N354" t="s" s="74">
        <v>6</v>
      </c>
      <c r="O354" t="s" s="74">
        <v>451</v>
      </c>
      <c r="P354" t="s" s="74">
        <v>8</v>
      </c>
    </row>
    <row r="355" ht="20.25" customHeight="1">
      <c r="I355" t="s" s="75">
        <v>452</v>
      </c>
      <c r="J355" s="76">
        <v>7</v>
      </c>
      <c r="K355" s="77">
        <f>COUNTA(C4:C40)</f>
        <v>33</v>
      </c>
      <c r="L355" s="77">
        <f>SUM(D4:D40)</f>
        <v>30</v>
      </c>
      <c r="M355" s="77">
        <f>SUM(E4:E40)</f>
        <v>93</v>
      </c>
      <c r="N355" s="77">
        <f>SUM(F4:F40)</f>
        <v>150</v>
      </c>
      <c r="O355" s="77">
        <f>SUM(G4:G40)</f>
        <v>13</v>
      </c>
      <c r="P355" s="77">
        <f>SUM(H4:H40)</f>
        <v>20</v>
      </c>
    </row>
    <row r="356" ht="20.05" customHeight="1">
      <c r="I356" t="s" s="78">
        <v>453</v>
      </c>
      <c r="J356" s="79">
        <v>7</v>
      </c>
      <c r="K356" s="80">
        <f>COUNTA(C41:C59)</f>
        <v>19</v>
      </c>
      <c r="L356" s="80">
        <f>SUM(D41:D59)</f>
        <v>10</v>
      </c>
      <c r="M356" s="80">
        <f>SUM(E41:E59)</f>
        <v>79</v>
      </c>
      <c r="N356" s="80">
        <f>SUM(F41:F59)</f>
        <v>68</v>
      </c>
      <c r="O356" s="80">
        <f>SUM(G41:G59)</f>
        <v>2</v>
      </c>
      <c r="P356" s="80">
        <f>SUM(H41:H59)</f>
        <v>4</v>
      </c>
    </row>
    <row r="357" ht="20.05" customHeight="1">
      <c r="I357" t="s" s="78">
        <v>454</v>
      </c>
      <c r="J357" s="79">
        <v>4</v>
      </c>
      <c r="K357" s="80">
        <f>COUNTA(C60:C69)</f>
        <v>10</v>
      </c>
      <c r="L357" s="80">
        <f>SUM(D60:D69)</f>
        <v>0</v>
      </c>
      <c r="M357" s="80">
        <f>SUM(E60:E69)</f>
        <v>55</v>
      </c>
      <c r="N357" s="80">
        <f>SUM(F60:F69)</f>
        <v>0</v>
      </c>
      <c r="O357" s="80">
        <f>SUM(G60:G69)</f>
        <v>0</v>
      </c>
      <c r="P357" s="80">
        <f>SUM(H60:H69)</f>
        <v>0</v>
      </c>
    </row>
    <row r="358" ht="20.05" customHeight="1">
      <c r="I358" t="s" s="78">
        <v>455</v>
      </c>
      <c r="J358" s="79">
        <v>10</v>
      </c>
      <c r="K358" s="80">
        <f>COUNTA(C70:C79)</f>
        <v>10</v>
      </c>
      <c r="L358" s="80">
        <f>SUM(D70:D79)</f>
        <v>3</v>
      </c>
      <c r="M358" s="80">
        <f>SUM(E70:E79)</f>
        <v>36</v>
      </c>
      <c r="N358" s="80">
        <f>SUM(F70:F79)</f>
        <v>40</v>
      </c>
      <c r="O358" s="80">
        <f>SUM(G70:G79)</f>
        <v>2</v>
      </c>
      <c r="P358" s="80">
        <f>SUM(H70:H79)</f>
        <v>3</v>
      </c>
    </row>
    <row r="359" ht="20.05" customHeight="1">
      <c r="I359" t="s" s="78">
        <v>456</v>
      </c>
      <c r="J359" s="79">
        <v>6</v>
      </c>
      <c r="K359" s="80">
        <f>COUNTA(C80:C102)</f>
        <v>23</v>
      </c>
      <c r="L359" s="80">
        <f>SUM(D80:D102)</f>
        <v>8</v>
      </c>
      <c r="M359" s="80">
        <f>SUM(E80:E102)</f>
        <v>122</v>
      </c>
      <c r="N359" s="80">
        <f>SUM(F80:F102)</f>
        <v>89</v>
      </c>
      <c r="O359" s="80">
        <f>SUM(G80:G102)</f>
        <v>1</v>
      </c>
      <c r="P359" s="80">
        <f>SUM(H80:H102)</f>
        <v>6</v>
      </c>
    </row>
    <row r="360" ht="20.05" customHeight="1">
      <c r="I360" t="s" s="78">
        <v>457</v>
      </c>
      <c r="J360" s="79">
        <v>11</v>
      </c>
      <c r="K360" s="80">
        <f>COUNTA(C103:C120)</f>
        <v>18</v>
      </c>
      <c r="L360" s="80">
        <f>SUM(D103:D114)</f>
        <v>8</v>
      </c>
      <c r="M360" s="80">
        <f>SUM(E103:E120)</f>
        <v>83</v>
      </c>
      <c r="N360" s="80">
        <f>SUM(F103:F120)</f>
        <v>45</v>
      </c>
      <c r="O360" s="80">
        <f>SUM(G103:G120)</f>
        <v>2</v>
      </c>
      <c r="P360" s="80">
        <f>SUM(H103:H120)</f>
        <v>2</v>
      </c>
    </row>
    <row r="361" ht="20.05" customHeight="1">
      <c r="I361" t="s" s="78">
        <v>458</v>
      </c>
      <c r="J361" s="79">
        <v>11</v>
      </c>
      <c r="K361" s="80">
        <f>COUNTA(C121:C152)</f>
        <v>32</v>
      </c>
      <c r="L361" s="80">
        <f>SUM(D121:D152)</f>
        <v>11</v>
      </c>
      <c r="M361" s="80">
        <f>SUM(E121:E152)</f>
        <v>130</v>
      </c>
      <c r="N361" s="80">
        <f>SUM(F121:F152)</f>
        <v>96</v>
      </c>
      <c r="O361" s="80">
        <f>SUM(G121:G152)</f>
        <v>2</v>
      </c>
      <c r="P361" s="80">
        <f>SUM(H121:H152)</f>
        <v>4</v>
      </c>
    </row>
    <row r="362" ht="20.05" customHeight="1">
      <c r="I362" t="s" s="78">
        <v>459</v>
      </c>
      <c r="J362" s="79">
        <v>10</v>
      </c>
      <c r="K362" s="80">
        <f>COUNTA(C153:C175)</f>
        <v>23</v>
      </c>
      <c r="L362" s="80">
        <f>SUM(D153:D175)</f>
        <v>2</v>
      </c>
      <c r="M362" s="80">
        <f>SUM(E153:E175)</f>
        <v>131</v>
      </c>
      <c r="N362" s="80">
        <f>SUM(F153:F175)</f>
        <v>49</v>
      </c>
      <c r="O362" s="80">
        <f>SUM(G153:G175)</f>
        <v>0</v>
      </c>
      <c r="P362" s="80">
        <f>SUM(H153:H175)</f>
        <v>2</v>
      </c>
    </row>
    <row r="363" ht="20.05" customHeight="1">
      <c r="I363" t="s" s="78">
        <v>460</v>
      </c>
      <c r="J363" s="79">
        <v>9</v>
      </c>
      <c r="K363" s="80">
        <f>COUNTA(C176:C205)</f>
        <v>30</v>
      </c>
      <c r="L363" s="80">
        <f>SUM(D176:D205)</f>
        <v>3</v>
      </c>
      <c r="M363" s="80">
        <f>SUM(E176:E205)</f>
        <v>240</v>
      </c>
      <c r="N363" s="80">
        <f>SUM(F176:F205)</f>
        <v>9</v>
      </c>
      <c r="O363" s="80">
        <f>SUM(G176:G205)</f>
        <v>0</v>
      </c>
      <c r="P363" s="80">
        <f>SUM(H176:H205)</f>
        <v>0</v>
      </c>
    </row>
    <row r="364" ht="20.05" customHeight="1">
      <c r="I364" t="s" s="78">
        <v>461</v>
      </c>
      <c r="J364" s="79">
        <v>12</v>
      </c>
      <c r="K364" s="80">
        <f>COUNTA(C206:C246)</f>
        <v>37</v>
      </c>
      <c r="L364" s="80">
        <f>SUM(D206:D246)</f>
        <v>4</v>
      </c>
      <c r="M364" s="80">
        <f>SUM(E206:E246)</f>
        <v>198</v>
      </c>
      <c r="N364" s="80">
        <f>SUM(F206:F246)</f>
        <v>96</v>
      </c>
      <c r="O364" s="80">
        <f>SUM(G206:G246)</f>
        <v>3</v>
      </c>
      <c r="P364" s="80">
        <f>SUM(H206:H246)</f>
        <v>4</v>
      </c>
    </row>
    <row r="365" ht="20.05" customHeight="1">
      <c r="I365" t="s" s="78">
        <v>462</v>
      </c>
      <c r="J365" s="79">
        <v>8</v>
      </c>
      <c r="K365" s="80">
        <f>COUNTA(C247:C278)</f>
        <v>32</v>
      </c>
      <c r="L365" s="80">
        <f>SUM(D247:D278)</f>
        <v>4</v>
      </c>
      <c r="M365" s="80">
        <f>SUM(E247:E278)</f>
        <v>227</v>
      </c>
      <c r="N365" s="80">
        <f>SUM(F247:F278)</f>
        <v>95</v>
      </c>
      <c r="O365" s="80">
        <f>SUM(G247:G278)</f>
        <v>3</v>
      </c>
      <c r="P365" s="80">
        <f>SUM(H247:H278)</f>
        <v>1</v>
      </c>
    </row>
    <row r="366" ht="20.05" customHeight="1">
      <c r="I366" t="s" s="78">
        <v>463</v>
      </c>
      <c r="J366" s="79">
        <v>5</v>
      </c>
      <c r="K366" s="80">
        <f>COUNTA(C279:C297)</f>
        <v>19</v>
      </c>
      <c r="L366" s="80">
        <f>SUM(D279:D297)</f>
        <v>4</v>
      </c>
      <c r="M366" s="80">
        <f>SUM(E279:E297)</f>
        <v>101</v>
      </c>
      <c r="N366" s="80">
        <f>SUM(F279:F297)</f>
        <v>48</v>
      </c>
      <c r="O366" s="80">
        <f>SUM(G279:G297)</f>
        <v>1</v>
      </c>
      <c r="P366" s="80">
        <f>SUM(H279:H297)</f>
        <v>2</v>
      </c>
    </row>
    <row r="367" ht="20.05" customHeight="1">
      <c r="I367" t="s" s="78">
        <v>464</v>
      </c>
      <c r="J367" s="79">
        <v>4</v>
      </c>
      <c r="K367" s="80">
        <f>COUNTA(C298:C313)</f>
        <v>16</v>
      </c>
      <c r="L367" s="80">
        <f>SUM(D298:D313)</f>
        <v>4</v>
      </c>
      <c r="M367" s="80">
        <f>SUM(E298:E313)</f>
        <v>65</v>
      </c>
      <c r="N367" s="80">
        <f>SUM(F298:F313)</f>
        <v>21</v>
      </c>
      <c r="O367" s="80">
        <f>SUM(G298:G313)</f>
        <v>1</v>
      </c>
      <c r="P367" s="80">
        <f>SUM(H298:H313)</f>
        <v>1</v>
      </c>
    </row>
    <row r="368" ht="20.05" customHeight="1">
      <c r="I368" t="s" s="78">
        <v>465</v>
      </c>
      <c r="J368" s="79">
        <v>13</v>
      </c>
      <c r="K368" s="80">
        <f>COUNTA(C314:C350)</f>
        <v>37</v>
      </c>
      <c r="L368" s="80">
        <f>SUM(D314:D350)</f>
        <v>3</v>
      </c>
      <c r="M368" s="80">
        <f>SUM(E314:E350)</f>
        <v>210</v>
      </c>
      <c r="N368" s="80">
        <f>SUM(F314:F350)</f>
        <v>38</v>
      </c>
      <c r="O368" s="80">
        <f>SUM(G314:G350)</f>
        <v>0</v>
      </c>
      <c r="P368" s="80">
        <f>SUM(H314:H350)</f>
        <v>1</v>
      </c>
    </row>
    <row r="369" ht="20.05" customHeight="1">
      <c r="I369" t="s" s="81">
        <v>448</v>
      </c>
      <c r="J369" s="82">
        <f>SUM(J355:J368)</f>
        <v>117</v>
      </c>
      <c r="K369" s="62">
        <f>SUM(K355:K368)</f>
        <v>339</v>
      </c>
      <c r="L369" s="83">
        <f>SUM(L355:L368)</f>
        <v>94</v>
      </c>
      <c r="M369" s="62">
        <f>SUM(M355:M368)</f>
        <v>1770</v>
      </c>
      <c r="N369" s="62">
        <f>SUM(N355:N368)</f>
        <v>844</v>
      </c>
      <c r="O369" s="84">
        <f>SUM(O355:O368)</f>
        <v>30</v>
      </c>
      <c r="P369" s="84">
        <f>SUM(P355:P368)</f>
        <v>50</v>
      </c>
    </row>
    <row r="370" ht="20.05" customHeight="1">
      <c r="I370" t="s" s="78">
        <v>466</v>
      </c>
      <c r="J370" s="85"/>
      <c r="K370" s="71"/>
      <c r="L370" s="71"/>
      <c r="M370" s="80">
        <f>SUM(M369:N369)</f>
        <v>2614</v>
      </c>
      <c r="N370" s="14"/>
      <c r="O370" s="29">
        <f>SUM(L369+O369)</f>
        <v>124</v>
      </c>
      <c r="P370" s="86"/>
    </row>
  </sheetData>
  <mergeCells count="229">
    <mergeCell ref="A1:H1"/>
    <mergeCell ref="B9:B15"/>
    <mergeCell ref="B33:B38"/>
    <mergeCell ref="B39:B40"/>
    <mergeCell ref="B128"/>
    <mergeCell ref="B138:B141"/>
    <mergeCell ref="B143:B147"/>
    <mergeCell ref="B149"/>
    <mergeCell ref="B173"/>
    <mergeCell ref="B298:B306"/>
    <mergeCell ref="B308:B311"/>
    <mergeCell ref="B182"/>
    <mergeCell ref="B183"/>
    <mergeCell ref="B190:B197"/>
    <mergeCell ref="B184:B189"/>
    <mergeCell ref="B199:B202"/>
    <mergeCell ref="B307"/>
    <mergeCell ref="B332:B336"/>
    <mergeCell ref="B249:B251"/>
    <mergeCell ref="A176:A205"/>
    <mergeCell ref="C9"/>
    <mergeCell ref="E9"/>
    <mergeCell ref="H9"/>
    <mergeCell ref="C30:C32"/>
    <mergeCell ref="C29"/>
    <mergeCell ref="C25:C26"/>
    <mergeCell ref="C24"/>
    <mergeCell ref="C23"/>
    <mergeCell ref="C20"/>
    <mergeCell ref="C18"/>
    <mergeCell ref="C19"/>
    <mergeCell ref="C17"/>
    <mergeCell ref="C16"/>
    <mergeCell ref="C10"/>
    <mergeCell ref="C11:C12"/>
    <mergeCell ref="B25:B32"/>
    <mergeCell ref="B21:B24"/>
    <mergeCell ref="B16:B20"/>
    <mergeCell ref="C81"/>
    <mergeCell ref="C209:C210"/>
    <mergeCell ref="C211:C212"/>
    <mergeCell ref="B206:B212"/>
    <mergeCell ref="C309"/>
    <mergeCell ref="C347"/>
    <mergeCell ref="B347"/>
    <mergeCell ref="A4:A40"/>
    <mergeCell ref="B4:B8"/>
    <mergeCell ref="F9"/>
    <mergeCell ref="G9"/>
    <mergeCell ref="E209:E210"/>
    <mergeCell ref="F209:F210"/>
    <mergeCell ref="E211:E212"/>
    <mergeCell ref="F211:F212"/>
    <mergeCell ref="D81"/>
    <mergeCell ref="E81"/>
    <mergeCell ref="F81"/>
    <mergeCell ref="E105"/>
    <mergeCell ref="F105"/>
    <mergeCell ref="G105"/>
    <mergeCell ref="H105"/>
    <mergeCell ref="B60:B62"/>
    <mergeCell ref="A60:A69"/>
    <mergeCell ref="B64:B67"/>
    <mergeCell ref="B68:B69"/>
    <mergeCell ref="B106"/>
    <mergeCell ref="B121:B127"/>
    <mergeCell ref="B135:B137"/>
    <mergeCell ref="B130:B134"/>
    <mergeCell ref="B150:B152"/>
    <mergeCell ref="A153:A175"/>
    <mergeCell ref="B176:B178"/>
    <mergeCell ref="B179:B180"/>
    <mergeCell ref="B203:B205"/>
    <mergeCell ref="B213:B216"/>
    <mergeCell ref="C206:C208"/>
    <mergeCell ref="E206:E208"/>
    <mergeCell ref="F206:F208"/>
    <mergeCell ref="B220:B224"/>
    <mergeCell ref="A206:A246"/>
    <mergeCell ref="B247:B248"/>
    <mergeCell ref="B291:B294"/>
    <mergeCell ref="B314:B318"/>
    <mergeCell ref="B319:B320"/>
    <mergeCell ref="B321"/>
    <mergeCell ref="B343:B346"/>
    <mergeCell ref="G81"/>
    <mergeCell ref="H81"/>
    <mergeCell ref="E347"/>
    <mergeCell ref="F347"/>
    <mergeCell ref="G347"/>
    <mergeCell ref="H347"/>
    <mergeCell ref="E309"/>
    <mergeCell ref="F309"/>
    <mergeCell ref="G309"/>
    <mergeCell ref="H309"/>
    <mergeCell ref="E10"/>
    <mergeCell ref="F10"/>
    <mergeCell ref="G10"/>
    <mergeCell ref="H10"/>
    <mergeCell ref="D11:D12"/>
    <mergeCell ref="E11:E12"/>
    <mergeCell ref="F11:F12"/>
    <mergeCell ref="G11:G12"/>
    <mergeCell ref="H11:H12"/>
    <mergeCell ref="E16"/>
    <mergeCell ref="F16"/>
    <mergeCell ref="G16"/>
    <mergeCell ref="H16"/>
    <mergeCell ref="E18"/>
    <mergeCell ref="F18"/>
    <mergeCell ref="G18"/>
    <mergeCell ref="H18"/>
    <mergeCell ref="E17"/>
    <mergeCell ref="F17"/>
    <mergeCell ref="G17"/>
    <mergeCell ref="H17"/>
    <mergeCell ref="E19"/>
    <mergeCell ref="F19"/>
    <mergeCell ref="G19"/>
    <mergeCell ref="H19"/>
    <mergeCell ref="E23"/>
    <mergeCell ref="F23"/>
    <mergeCell ref="G23"/>
    <mergeCell ref="H23"/>
    <mergeCell ref="E24"/>
    <mergeCell ref="F24"/>
    <mergeCell ref="G24"/>
    <mergeCell ref="H24"/>
    <mergeCell ref="D25:D26"/>
    <mergeCell ref="E25:E26"/>
    <mergeCell ref="F25:F26"/>
    <mergeCell ref="G25:G26"/>
    <mergeCell ref="H25:H26"/>
    <mergeCell ref="C27"/>
    <mergeCell ref="E29"/>
    <mergeCell ref="F29"/>
    <mergeCell ref="G29"/>
    <mergeCell ref="H29"/>
    <mergeCell ref="D30:D32"/>
    <mergeCell ref="E30:E32"/>
    <mergeCell ref="F30:F32"/>
    <mergeCell ref="G30:G32"/>
    <mergeCell ref="H30:H32"/>
    <mergeCell ref="B217:B219"/>
    <mergeCell ref="B80:B87"/>
    <mergeCell ref="B88:B89"/>
    <mergeCell ref="B90:B91"/>
    <mergeCell ref="B92:B97"/>
    <mergeCell ref="B98"/>
    <mergeCell ref="B99:B102"/>
    <mergeCell ref="A80:A102"/>
    <mergeCell ref="A103:A120"/>
    <mergeCell ref="B108:B113"/>
    <mergeCell ref="B117:B119"/>
    <mergeCell ref="A121:A152"/>
    <mergeCell ref="B153:B157"/>
    <mergeCell ref="B158"/>
    <mergeCell ref="B159:B160"/>
    <mergeCell ref="B161:B162"/>
    <mergeCell ref="B163"/>
    <mergeCell ref="B164:B165"/>
    <mergeCell ref="B166:B172"/>
    <mergeCell ref="B174"/>
    <mergeCell ref="B41:B42"/>
    <mergeCell ref="B43:B44"/>
    <mergeCell ref="B46:B51"/>
    <mergeCell ref="B56:B59"/>
    <mergeCell ref="A41:A59"/>
    <mergeCell ref="B52:B53"/>
    <mergeCell ref="B54:B55"/>
    <mergeCell ref="B226:B227"/>
    <mergeCell ref="B228:B231"/>
    <mergeCell ref="B232:B234"/>
    <mergeCell ref="B244:B245"/>
    <mergeCell ref="B242:B243"/>
    <mergeCell ref="B235:B241"/>
    <mergeCell ref="G206:G208"/>
    <mergeCell ref="H206:H208"/>
    <mergeCell ref="G209:G210"/>
    <mergeCell ref="H209:H210"/>
    <mergeCell ref="G211:G212"/>
    <mergeCell ref="H211:H212"/>
    <mergeCell ref="B338:B339"/>
    <mergeCell ref="B340:B341"/>
    <mergeCell ref="B282:B288"/>
    <mergeCell ref="B279:B281"/>
    <mergeCell ref="B289:B290"/>
    <mergeCell ref="E286"/>
    <mergeCell ref="F286"/>
    <mergeCell ref="G286"/>
    <mergeCell ref="H286"/>
    <mergeCell ref="B295:B297"/>
    <mergeCell ref="A279:A297"/>
    <mergeCell ref="B267:B268"/>
    <mergeCell ref="B273:B276"/>
    <mergeCell ref="B269:B272"/>
    <mergeCell ref="B252:B261"/>
    <mergeCell ref="A247:A278"/>
    <mergeCell ref="B277:B278"/>
    <mergeCell ref="B262:B266"/>
    <mergeCell ref="A70:A79"/>
    <mergeCell ref="E27"/>
    <mergeCell ref="F27"/>
    <mergeCell ref="B322:B326"/>
    <mergeCell ref="B327:B331"/>
    <mergeCell ref="C348"/>
    <mergeCell ref="C349"/>
    <mergeCell ref="C350"/>
    <mergeCell ref="E348"/>
    <mergeCell ref="E349"/>
    <mergeCell ref="E350"/>
    <mergeCell ref="F348"/>
    <mergeCell ref="F349"/>
    <mergeCell ref="F350"/>
    <mergeCell ref="G348"/>
    <mergeCell ref="G349"/>
    <mergeCell ref="G350"/>
    <mergeCell ref="H348"/>
    <mergeCell ref="H349"/>
    <mergeCell ref="H350"/>
    <mergeCell ref="B348:B350"/>
    <mergeCell ref="A314:A350"/>
    <mergeCell ref="D206:D208"/>
    <mergeCell ref="D209:D210"/>
    <mergeCell ref="D211:D212"/>
    <mergeCell ref="A298:A313"/>
    <mergeCell ref="B312:B313"/>
    <mergeCell ref="I353:P353"/>
    <mergeCell ref="M370:N370"/>
  </mergeCells>
  <conditionalFormatting sqref="E4:F11 E13:F25 E27:F30 E33:F206 E209:F209 E211:F211 E213:F350">
    <cfRule type="cellIs" dxfId="0" priority="1" operator="lessThan" stopIfTrue="1">
      <formula>5</formula>
    </cfRule>
  </conditionalFormatting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P32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7578" style="87" customWidth="1"/>
    <col min="2" max="2" width="47.2188" style="87" customWidth="1"/>
    <col min="3" max="3" width="34.1406" style="87" customWidth="1"/>
    <col min="4" max="8" width="16.3516" style="87" customWidth="1"/>
    <col min="9" max="9" width="40.8203" style="110" customWidth="1"/>
    <col min="10" max="16" width="16.3516" style="110" customWidth="1"/>
    <col min="17" max="16384" width="16.3516" style="110" customWidth="1"/>
  </cols>
  <sheetData>
    <row r="1" ht="37.4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s="3"/>
      <c r="B2" s="3"/>
      <c r="C2" s="3"/>
      <c r="D2" s="4"/>
      <c r="E2" s="4"/>
      <c r="F2" s="4"/>
      <c r="G2" s="4"/>
      <c r="H2" s="4"/>
    </row>
    <row r="3" ht="32.25" customHeight="1">
      <c r="A3" t="s" s="5">
        <v>1</v>
      </c>
      <c r="B3" t="s" s="6">
        <v>2</v>
      </c>
      <c r="C3" t="s" s="7">
        <v>3</v>
      </c>
      <c r="D3" t="s" s="7">
        <v>4</v>
      </c>
      <c r="E3" t="s" s="7">
        <v>5</v>
      </c>
      <c r="F3" t="s" s="7">
        <v>6</v>
      </c>
      <c r="G3" t="s" s="7">
        <v>7</v>
      </c>
      <c r="H3" t="s" s="7">
        <v>8</v>
      </c>
    </row>
    <row r="4" ht="20.05" customHeight="1">
      <c r="A4" t="s" s="8">
        <v>9</v>
      </c>
      <c r="B4" t="s" s="88">
        <v>10</v>
      </c>
      <c r="C4" t="s" s="10">
        <v>11</v>
      </c>
      <c r="D4" s="11">
        <f>'Mechanical'!D4</f>
        <v>3</v>
      </c>
      <c r="E4" s="11">
        <f>'Mechanical'!E4</f>
        <v>5</v>
      </c>
      <c r="F4" s="11">
        <f>'Mechanical'!F4</f>
        <v>6</v>
      </c>
      <c r="G4" s="11">
        <f>'Mechanical'!G4</f>
        <v>0</v>
      </c>
      <c r="H4" s="11">
        <f>'Mechanical'!H4</f>
        <v>1</v>
      </c>
    </row>
    <row r="5" ht="20.05" customHeight="1">
      <c r="A5" s="12"/>
      <c r="B5" s="13"/>
      <c r="C5" t="s" s="10">
        <v>12</v>
      </c>
      <c r="D5" s="11">
        <v>0</v>
      </c>
      <c r="E5" s="11">
        <v>2</v>
      </c>
      <c r="F5" s="11">
        <v>3</v>
      </c>
      <c r="G5" s="11">
        <v>0</v>
      </c>
      <c r="H5" s="11">
        <v>1</v>
      </c>
    </row>
    <row r="6" ht="20.05" customHeight="1">
      <c r="A6" s="12"/>
      <c r="B6" s="13"/>
      <c r="C6" t="s" s="10">
        <v>13</v>
      </c>
      <c r="D6" s="11">
        <f>'Mechanical'!D6</f>
        <v>0</v>
      </c>
      <c r="E6" s="11">
        <f>'Mechanical'!E6</f>
        <v>0</v>
      </c>
      <c r="F6" s="11">
        <f>'Mechanical'!F6</f>
        <v>5</v>
      </c>
      <c r="G6" s="11">
        <f>'Mechanical'!G6</f>
        <v>0</v>
      </c>
      <c r="H6" s="11">
        <f>'Mechanical'!H6</f>
        <v>1</v>
      </c>
    </row>
    <row r="7" ht="20.05" customHeight="1">
      <c r="A7" s="12"/>
      <c r="B7" s="13"/>
      <c r="C7" t="s" s="10">
        <v>14</v>
      </c>
      <c r="D7" s="11">
        <f>'Mechanical'!D7</f>
        <v>0</v>
      </c>
      <c r="E7" s="11">
        <f>'Mechanical'!E7</f>
        <v>6</v>
      </c>
      <c r="F7" s="11">
        <f>'Mechanical'!F7</f>
        <v>5</v>
      </c>
      <c r="G7" s="11">
        <f>'Mechanical'!G7</f>
        <v>0</v>
      </c>
      <c r="H7" s="11">
        <f>'Mechanical'!H7</f>
        <v>0</v>
      </c>
    </row>
    <row r="8" ht="20.05" customHeight="1">
      <c r="A8" s="12"/>
      <c r="B8" s="13"/>
      <c r="C8" t="s" s="10">
        <v>15</v>
      </c>
      <c r="D8" s="11">
        <f>'Mechanical'!D8</f>
        <v>0</v>
      </c>
      <c r="E8" s="11">
        <f>'Mechanical'!E8</f>
        <v>0</v>
      </c>
      <c r="F8" s="11">
        <f>'Mechanical'!F8</f>
        <v>2</v>
      </c>
      <c r="G8" s="11">
        <f>'Mechanical'!G8</f>
        <v>0</v>
      </c>
      <c r="H8" s="11">
        <f>'Mechanical'!H8</f>
        <v>0</v>
      </c>
    </row>
    <row r="9" ht="20.05" customHeight="1">
      <c r="A9" s="12"/>
      <c r="B9" t="s" s="88">
        <v>16</v>
      </c>
      <c r="C9" t="s" s="10">
        <v>467</v>
      </c>
      <c r="D9" s="11">
        <v>1</v>
      </c>
      <c r="E9" s="11">
        <f>'Mechanical'!E9</f>
        <v>6</v>
      </c>
      <c r="F9" s="11">
        <v>8</v>
      </c>
      <c r="G9" s="11">
        <v>3</v>
      </c>
      <c r="H9" s="11">
        <v>1</v>
      </c>
    </row>
    <row r="10" ht="20.05" customHeight="1">
      <c r="A10" s="12"/>
      <c r="B10" s="13"/>
      <c r="C10" t="s" s="10">
        <v>18</v>
      </c>
      <c r="D10" s="11">
        <v>1</v>
      </c>
      <c r="E10" s="11">
        <f>'Mechanical'!E10</f>
        <v>2</v>
      </c>
      <c r="F10" s="11">
        <v>3</v>
      </c>
      <c r="G10" s="11">
        <v>0</v>
      </c>
      <c r="H10" s="11">
        <v>0</v>
      </c>
    </row>
    <row r="11" ht="20.05" customHeight="1">
      <c r="A11" s="12"/>
      <c r="B11" s="13"/>
      <c r="C11" t="s" s="10">
        <v>468</v>
      </c>
      <c r="D11" s="11">
        <f>'Mechanical'!D11</f>
        <v>2</v>
      </c>
      <c r="E11" s="11">
        <v>1</v>
      </c>
      <c r="F11" s="11">
        <v>9</v>
      </c>
      <c r="G11" s="11">
        <v>2</v>
      </c>
      <c r="H11" s="11">
        <v>1</v>
      </c>
    </row>
    <row r="12" ht="20.05" customHeight="1">
      <c r="A12" s="12"/>
      <c r="B12" s="13"/>
      <c r="C12" t="s" s="10">
        <v>20</v>
      </c>
      <c r="D12" s="11">
        <f>'Mechanical'!D13</f>
        <v>1</v>
      </c>
      <c r="E12" s="11">
        <f>'Mechanical'!E13</f>
        <v>2</v>
      </c>
      <c r="F12" s="11">
        <f>'Mechanical'!F13</f>
        <v>5</v>
      </c>
      <c r="G12" s="11">
        <f>'Mechanical'!G13</f>
        <v>1</v>
      </c>
      <c r="H12" s="11">
        <f>'Mechanical'!H13</f>
        <v>1</v>
      </c>
    </row>
    <row r="13" ht="20.05" customHeight="1">
      <c r="A13" s="12"/>
      <c r="B13" s="13"/>
      <c r="C13" t="s" s="10">
        <v>21</v>
      </c>
      <c r="D13" s="11">
        <v>1</v>
      </c>
      <c r="E13" s="11">
        <v>2</v>
      </c>
      <c r="F13" s="11">
        <v>8</v>
      </c>
      <c r="G13" s="11">
        <v>0</v>
      </c>
      <c r="H13" s="11">
        <v>1</v>
      </c>
    </row>
    <row r="14" ht="20.05" customHeight="1">
      <c r="A14" s="12"/>
      <c r="B14" s="13"/>
      <c r="C14" t="s" s="10">
        <v>22</v>
      </c>
      <c r="D14" s="11">
        <v>1</v>
      </c>
      <c r="E14" s="11">
        <v>2</v>
      </c>
      <c r="F14" s="11">
        <v>6</v>
      </c>
      <c r="G14" s="11">
        <v>1</v>
      </c>
      <c r="H14" s="11">
        <v>1</v>
      </c>
    </row>
    <row r="15" ht="20.05" customHeight="1">
      <c r="A15" s="12"/>
      <c r="B15" t="s" s="9">
        <v>34</v>
      </c>
      <c r="C15" t="s" s="10">
        <v>35</v>
      </c>
      <c r="D15" s="11">
        <v>0</v>
      </c>
      <c r="E15" s="11">
        <v>1</v>
      </c>
      <c r="F15" s="11">
        <v>2</v>
      </c>
      <c r="G15" s="11">
        <v>0</v>
      </c>
      <c r="H15" s="11">
        <v>0</v>
      </c>
    </row>
    <row r="16" ht="20.05" customHeight="1">
      <c r="A16" s="12"/>
      <c r="B16" s="13"/>
      <c r="C16" t="s" s="10">
        <v>36</v>
      </c>
      <c r="D16" s="11">
        <v>0</v>
      </c>
      <c r="E16" s="11">
        <v>2</v>
      </c>
      <c r="F16" s="11">
        <v>7</v>
      </c>
      <c r="G16" s="11">
        <v>0</v>
      </c>
      <c r="H16" s="11">
        <v>0</v>
      </c>
    </row>
    <row r="17" ht="20.05" customHeight="1">
      <c r="A17" s="12"/>
      <c r="B17" t="s" s="9">
        <v>29</v>
      </c>
      <c r="C17" t="s" s="10">
        <v>30</v>
      </c>
      <c r="D17" s="11">
        <v>1</v>
      </c>
      <c r="E17" s="11">
        <v>4</v>
      </c>
      <c r="F17" s="11">
        <v>0</v>
      </c>
      <c r="G17" s="11">
        <v>0</v>
      </c>
      <c r="H17" s="11">
        <v>0</v>
      </c>
    </row>
    <row r="18" ht="20.05" customHeight="1">
      <c r="A18" s="12"/>
      <c r="B18" s="13"/>
      <c r="C18" t="s" s="10">
        <v>31</v>
      </c>
      <c r="D18" s="11">
        <v>1</v>
      </c>
      <c r="E18" s="11">
        <v>2</v>
      </c>
      <c r="F18" s="11">
        <v>7</v>
      </c>
      <c r="G18" s="11">
        <v>0</v>
      </c>
      <c r="H18" s="11">
        <v>0</v>
      </c>
    </row>
    <row r="19" ht="20.05" customHeight="1">
      <c r="A19" s="12"/>
      <c r="B19" s="13"/>
      <c r="C19" t="s" s="10">
        <v>32</v>
      </c>
      <c r="D19" s="11">
        <v>4</v>
      </c>
      <c r="E19" s="11">
        <v>0</v>
      </c>
      <c r="F19" s="11">
        <v>3</v>
      </c>
      <c r="G19" s="11">
        <v>1</v>
      </c>
      <c r="H19" s="11">
        <v>0</v>
      </c>
    </row>
    <row r="20" ht="20.05" customHeight="1">
      <c r="A20" s="12"/>
      <c r="B20" t="s" s="9">
        <v>40</v>
      </c>
      <c r="C20" t="s" s="10">
        <v>41</v>
      </c>
      <c r="D20" s="11">
        <v>1</v>
      </c>
      <c r="E20" s="11">
        <v>2</v>
      </c>
      <c r="F20" s="11">
        <v>3</v>
      </c>
      <c r="G20" s="11">
        <v>0</v>
      </c>
      <c r="H20" s="11">
        <v>1</v>
      </c>
    </row>
    <row r="21" ht="20.05" customHeight="1">
      <c r="A21" s="12"/>
      <c r="B21" s="13"/>
      <c r="C21" t="s" s="10">
        <v>42</v>
      </c>
      <c r="D21" s="11">
        <v>0</v>
      </c>
      <c r="E21" s="11">
        <v>0</v>
      </c>
      <c r="F21" s="11">
        <v>2</v>
      </c>
      <c r="G21" s="11">
        <v>0</v>
      </c>
      <c r="H21" s="11">
        <v>0</v>
      </c>
    </row>
    <row r="22" ht="20.05" customHeight="1">
      <c r="A22" s="12"/>
      <c r="B22" s="13"/>
      <c r="C22" t="s" s="10">
        <v>43</v>
      </c>
      <c r="D22" s="11">
        <v>1</v>
      </c>
      <c r="E22" s="11">
        <v>2</v>
      </c>
      <c r="F22" s="11">
        <v>2</v>
      </c>
      <c r="G22" s="11">
        <v>0</v>
      </c>
      <c r="H22" s="11">
        <v>1</v>
      </c>
    </row>
    <row r="23" ht="20.05" customHeight="1">
      <c r="A23" s="12"/>
      <c r="B23" s="13"/>
      <c r="C23" t="s" s="10">
        <v>44</v>
      </c>
      <c r="D23" s="11">
        <v>1</v>
      </c>
      <c r="E23" s="11">
        <v>2</v>
      </c>
      <c r="F23" s="11">
        <v>4</v>
      </c>
      <c r="G23" s="11">
        <v>1</v>
      </c>
      <c r="H23" s="11">
        <v>1</v>
      </c>
    </row>
    <row r="24" ht="20.05" customHeight="1">
      <c r="A24" s="12"/>
      <c r="B24" s="13"/>
      <c r="C24" t="s" s="10">
        <v>45</v>
      </c>
      <c r="D24" s="11">
        <v>0</v>
      </c>
      <c r="E24" s="11">
        <v>0</v>
      </c>
      <c r="F24" s="11">
        <v>2</v>
      </c>
      <c r="G24" s="11">
        <v>0</v>
      </c>
      <c r="H24" s="11">
        <v>0</v>
      </c>
    </row>
    <row r="25" ht="20.05" customHeight="1">
      <c r="A25" s="12"/>
      <c r="B25" s="13"/>
      <c r="C25" t="s" s="10">
        <v>46</v>
      </c>
      <c r="D25" s="11">
        <v>0</v>
      </c>
      <c r="E25" s="11">
        <v>0</v>
      </c>
      <c r="F25" s="11">
        <v>2</v>
      </c>
      <c r="G25" s="11">
        <v>0</v>
      </c>
      <c r="H25" s="11">
        <v>1</v>
      </c>
    </row>
    <row r="26" ht="20.05" customHeight="1">
      <c r="A26" s="12"/>
      <c r="B26" t="s" s="9">
        <v>469</v>
      </c>
      <c r="C26" t="s" s="10">
        <v>24</v>
      </c>
      <c r="D26" s="11">
        <v>0</v>
      </c>
      <c r="E26" s="11">
        <v>2</v>
      </c>
      <c r="F26" s="11">
        <v>2</v>
      </c>
      <c r="G26" s="11">
        <v>0</v>
      </c>
      <c r="H26" s="11">
        <v>1</v>
      </c>
    </row>
    <row r="27" ht="20.05" customHeight="1">
      <c r="A27" s="12"/>
      <c r="B27" s="13"/>
      <c r="C27" t="s" s="10">
        <v>25</v>
      </c>
      <c r="D27" s="11">
        <v>1</v>
      </c>
      <c r="E27" s="11">
        <v>2</v>
      </c>
      <c r="F27" s="11">
        <v>3</v>
      </c>
      <c r="G27" s="11">
        <v>0</v>
      </c>
      <c r="H27" s="11">
        <v>1</v>
      </c>
    </row>
    <row r="28" ht="20.05" customHeight="1">
      <c r="A28" s="12"/>
      <c r="B28" s="13"/>
      <c r="C28" t="s" s="10">
        <v>26</v>
      </c>
      <c r="D28" s="11">
        <v>0</v>
      </c>
      <c r="E28" s="11">
        <v>3</v>
      </c>
      <c r="F28" s="11">
        <v>0</v>
      </c>
      <c r="G28" s="11">
        <v>0</v>
      </c>
      <c r="H28" s="11">
        <v>1</v>
      </c>
    </row>
    <row r="29" ht="20.05" customHeight="1">
      <c r="A29" s="12"/>
      <c r="B29" s="13"/>
      <c r="C29" t="s" s="10">
        <v>28</v>
      </c>
      <c r="D29" s="11">
        <v>1</v>
      </c>
      <c r="E29" s="11">
        <v>0</v>
      </c>
      <c r="F29" s="11">
        <v>6</v>
      </c>
      <c r="G29" s="11">
        <v>0</v>
      </c>
      <c r="H29" s="11">
        <v>0</v>
      </c>
    </row>
    <row r="30" ht="20.05" customHeight="1">
      <c r="A30" t="s" s="15">
        <v>50</v>
      </c>
      <c r="B30" t="s" s="16">
        <v>51</v>
      </c>
      <c r="C30" t="s" s="17">
        <v>52</v>
      </c>
      <c r="D30" s="18">
        <v>1</v>
      </c>
      <c r="E30" s="18">
        <v>3</v>
      </c>
      <c r="F30" s="18">
        <v>9</v>
      </c>
      <c r="G30" s="18">
        <v>0</v>
      </c>
      <c r="H30" s="18">
        <v>1</v>
      </c>
    </row>
    <row r="31" ht="20.05" customHeight="1">
      <c r="A31" s="12"/>
      <c r="B31" s="13"/>
      <c r="C31" t="s" s="17">
        <v>470</v>
      </c>
      <c r="D31" s="18">
        <v>0</v>
      </c>
      <c r="E31" s="18">
        <v>3</v>
      </c>
      <c r="F31" s="18">
        <v>3</v>
      </c>
      <c r="G31" s="18">
        <v>0</v>
      </c>
      <c r="H31" s="18">
        <v>0</v>
      </c>
    </row>
    <row r="32" ht="20.05" customHeight="1">
      <c r="A32" s="12"/>
      <c r="B32" t="s" s="16">
        <v>54</v>
      </c>
      <c r="C32" t="s" s="17">
        <v>471</v>
      </c>
      <c r="D32" s="18">
        <v>1</v>
      </c>
      <c r="E32" s="18">
        <v>2</v>
      </c>
      <c r="F32" s="18">
        <v>5</v>
      </c>
      <c r="G32" s="18">
        <v>0</v>
      </c>
      <c r="H32" s="18">
        <v>0</v>
      </c>
    </row>
    <row r="33" ht="20.05" customHeight="1">
      <c r="A33" s="12"/>
      <c r="B33" s="13"/>
      <c r="C33" t="s" s="17">
        <v>56</v>
      </c>
      <c r="D33" s="18">
        <v>0</v>
      </c>
      <c r="E33" s="18">
        <v>0</v>
      </c>
      <c r="F33" s="18">
        <v>3</v>
      </c>
      <c r="G33" s="18">
        <v>0</v>
      </c>
      <c r="H33" s="18">
        <v>0</v>
      </c>
    </row>
    <row r="34" ht="23.95" customHeight="1">
      <c r="A34" s="12"/>
      <c r="B34" t="s" s="16">
        <v>57</v>
      </c>
      <c r="C34" t="s" s="17">
        <v>58</v>
      </c>
      <c r="D34" s="18">
        <v>1</v>
      </c>
      <c r="E34" s="18">
        <v>2</v>
      </c>
      <c r="F34" s="18">
        <v>10</v>
      </c>
      <c r="G34" s="18">
        <v>0</v>
      </c>
      <c r="H34" s="18">
        <v>1</v>
      </c>
    </row>
    <row r="35" ht="20.05" customHeight="1">
      <c r="A35" s="12"/>
      <c r="B35" t="s" s="16">
        <v>472</v>
      </c>
      <c r="C35" t="s" s="17">
        <v>60</v>
      </c>
      <c r="D35" s="18">
        <v>1</v>
      </c>
      <c r="E35" s="18">
        <v>2</v>
      </c>
      <c r="F35" s="18">
        <v>3</v>
      </c>
      <c r="G35" s="18">
        <v>1</v>
      </c>
      <c r="H35" s="18">
        <v>0</v>
      </c>
    </row>
    <row r="36" ht="20.05" customHeight="1">
      <c r="A36" s="12"/>
      <c r="B36" s="13"/>
      <c r="C36" t="s" s="17">
        <v>61</v>
      </c>
      <c r="D36" s="18">
        <v>1</v>
      </c>
      <c r="E36" s="18">
        <v>1</v>
      </c>
      <c r="F36" s="18">
        <v>6</v>
      </c>
      <c r="G36" s="18">
        <v>1</v>
      </c>
      <c r="H36" s="18">
        <v>1</v>
      </c>
    </row>
    <row r="37" ht="20.05" customHeight="1">
      <c r="A37" s="12"/>
      <c r="B37" s="13"/>
      <c r="C37" t="s" s="17">
        <v>62</v>
      </c>
      <c r="D37" s="18">
        <v>1</v>
      </c>
      <c r="E37" s="18">
        <v>2</v>
      </c>
      <c r="F37" s="18">
        <v>4</v>
      </c>
      <c r="G37" s="18">
        <v>0</v>
      </c>
      <c r="H37" s="18">
        <v>1</v>
      </c>
    </row>
    <row r="38" ht="20.05" customHeight="1">
      <c r="A38" s="12"/>
      <c r="B38" s="13"/>
      <c r="C38" t="s" s="17">
        <v>63</v>
      </c>
      <c r="D38" s="18">
        <v>1</v>
      </c>
      <c r="E38" s="18">
        <v>2</v>
      </c>
      <c r="F38" s="18">
        <v>3</v>
      </c>
      <c r="G38" s="18">
        <v>0</v>
      </c>
      <c r="H38" s="18">
        <v>0</v>
      </c>
    </row>
    <row r="39" ht="20.05" customHeight="1">
      <c r="A39" s="12"/>
      <c r="B39" s="13"/>
      <c r="C39" t="s" s="17">
        <v>65</v>
      </c>
      <c r="D39" s="18">
        <v>0</v>
      </c>
      <c r="E39" s="18">
        <v>2</v>
      </c>
      <c r="F39" s="18">
        <v>4</v>
      </c>
      <c r="G39" s="18">
        <v>0</v>
      </c>
      <c r="H39" s="18">
        <v>0</v>
      </c>
    </row>
    <row r="40" ht="20.05" customHeight="1">
      <c r="A40" s="12"/>
      <c r="B40" t="s" s="16">
        <v>66</v>
      </c>
      <c r="C40" t="s" s="17">
        <v>67</v>
      </c>
      <c r="D40" s="18">
        <v>0</v>
      </c>
      <c r="E40" s="18">
        <v>6</v>
      </c>
      <c r="F40" s="18">
        <v>0</v>
      </c>
      <c r="G40" s="18">
        <v>0</v>
      </c>
      <c r="H40" s="18">
        <v>0</v>
      </c>
    </row>
    <row r="41" ht="20.05" customHeight="1">
      <c r="A41" s="12"/>
      <c r="B41" s="13"/>
      <c r="C41" t="s" s="17">
        <v>68</v>
      </c>
      <c r="D41" s="18">
        <v>0</v>
      </c>
      <c r="E41" s="18">
        <v>0</v>
      </c>
      <c r="F41" s="18">
        <v>2</v>
      </c>
      <c r="G41" s="18">
        <v>0</v>
      </c>
      <c r="H41" s="18">
        <v>0</v>
      </c>
    </row>
    <row r="42" ht="20.05" customHeight="1">
      <c r="A42" s="12"/>
      <c r="B42" s="13"/>
      <c r="C42" t="s" s="17">
        <v>396</v>
      </c>
      <c r="D42" s="18">
        <v>0</v>
      </c>
      <c r="E42" s="18">
        <v>0</v>
      </c>
      <c r="F42" s="18">
        <v>3</v>
      </c>
      <c r="G42" s="18">
        <v>0</v>
      </c>
      <c r="H42" s="18">
        <v>0</v>
      </c>
    </row>
    <row r="43" ht="20.05" customHeight="1">
      <c r="A43" s="12"/>
      <c r="B43" t="s" s="16">
        <v>69</v>
      </c>
      <c r="C43" t="s" s="17">
        <v>70</v>
      </c>
      <c r="D43" s="18">
        <v>1</v>
      </c>
      <c r="E43" s="18">
        <v>2</v>
      </c>
      <c r="F43" s="18">
        <v>4</v>
      </c>
      <c r="G43" s="18">
        <v>0</v>
      </c>
      <c r="H43" s="18">
        <v>0</v>
      </c>
    </row>
    <row r="44" ht="20.05" customHeight="1">
      <c r="A44" s="12"/>
      <c r="B44" s="13"/>
      <c r="C44" t="s" s="17">
        <v>71</v>
      </c>
      <c r="D44" s="18">
        <v>0</v>
      </c>
      <c r="E44" s="18">
        <v>2</v>
      </c>
      <c r="F44" s="18">
        <v>1</v>
      </c>
      <c r="G44" s="18">
        <v>0</v>
      </c>
      <c r="H44" s="18">
        <v>0</v>
      </c>
    </row>
    <row r="45" ht="20.05" customHeight="1">
      <c r="A45" s="12"/>
      <c r="B45" t="s" s="16">
        <v>72</v>
      </c>
      <c r="C45" t="s" s="17">
        <v>73</v>
      </c>
      <c r="D45" s="18">
        <v>0</v>
      </c>
      <c r="E45" s="18">
        <v>7</v>
      </c>
      <c r="F45" s="18">
        <v>2</v>
      </c>
      <c r="G45" s="18">
        <v>0</v>
      </c>
      <c r="H45" s="18">
        <v>0</v>
      </c>
    </row>
    <row r="46" ht="20.05" customHeight="1">
      <c r="A46" s="12"/>
      <c r="B46" s="13"/>
      <c r="C46" t="s" s="17">
        <v>74</v>
      </c>
      <c r="D46" s="18">
        <v>0</v>
      </c>
      <c r="E46" s="18">
        <v>3</v>
      </c>
      <c r="F46" s="18">
        <v>2</v>
      </c>
      <c r="G46" s="18">
        <v>0</v>
      </c>
      <c r="H46" s="18">
        <v>0</v>
      </c>
    </row>
    <row r="47" ht="20.05" customHeight="1">
      <c r="A47" s="12"/>
      <c r="B47" s="13"/>
      <c r="C47" t="s" s="17">
        <v>75</v>
      </c>
      <c r="D47" s="18">
        <v>0</v>
      </c>
      <c r="E47" s="18">
        <v>1</v>
      </c>
      <c r="F47" s="18">
        <v>1</v>
      </c>
      <c r="G47" s="18">
        <v>0</v>
      </c>
      <c r="H47" s="18">
        <v>0</v>
      </c>
    </row>
    <row r="48" ht="20.05" customHeight="1">
      <c r="A48" s="12"/>
      <c r="B48" s="13"/>
      <c r="C48" t="s" s="17">
        <v>76</v>
      </c>
      <c r="D48" s="18">
        <v>0</v>
      </c>
      <c r="E48" s="18">
        <v>2</v>
      </c>
      <c r="F48" s="18">
        <v>2</v>
      </c>
      <c r="G48" s="18">
        <v>0</v>
      </c>
      <c r="H48" s="18">
        <v>0</v>
      </c>
    </row>
    <row r="49" ht="20.8" customHeight="1">
      <c r="A49" t="s" s="89">
        <v>473</v>
      </c>
      <c r="B49" t="s" s="90">
        <v>474</v>
      </c>
      <c r="C49" t="s" s="91">
        <v>475</v>
      </c>
      <c r="D49" s="92">
        <v>0</v>
      </c>
      <c r="E49" s="92">
        <v>5</v>
      </c>
      <c r="F49" s="92">
        <v>0</v>
      </c>
      <c r="G49" s="92">
        <v>0</v>
      </c>
      <c r="H49" s="92">
        <v>0</v>
      </c>
    </row>
    <row r="50" ht="20.8" customHeight="1">
      <c r="A50" s="12"/>
      <c r="B50" s="13"/>
      <c r="C50" t="s" s="91">
        <v>258</v>
      </c>
      <c r="D50" s="92">
        <v>0</v>
      </c>
      <c r="E50" s="92">
        <v>2</v>
      </c>
      <c r="F50" s="92">
        <v>0</v>
      </c>
      <c r="G50" s="92">
        <v>0</v>
      </c>
      <c r="H50" s="92">
        <v>0</v>
      </c>
    </row>
    <row r="51" ht="20.8" customHeight="1">
      <c r="A51" s="12"/>
      <c r="B51" s="13"/>
      <c r="C51" t="s" s="91">
        <v>259</v>
      </c>
      <c r="D51" s="92">
        <v>0</v>
      </c>
      <c r="E51" s="92">
        <v>3</v>
      </c>
      <c r="F51" s="92">
        <v>0</v>
      </c>
      <c r="G51" s="92">
        <v>0</v>
      </c>
      <c r="H51" s="92">
        <v>0</v>
      </c>
    </row>
    <row r="52" ht="20.8" customHeight="1">
      <c r="A52" s="12"/>
      <c r="B52" s="13"/>
      <c r="C52" t="s" s="91">
        <v>260</v>
      </c>
      <c r="D52" s="92">
        <v>0</v>
      </c>
      <c r="E52" s="92">
        <v>3</v>
      </c>
      <c r="F52" s="92">
        <v>0</v>
      </c>
      <c r="G52" s="92">
        <v>0</v>
      </c>
      <c r="H52" s="92">
        <v>0</v>
      </c>
    </row>
    <row r="53" ht="20.8" customHeight="1">
      <c r="A53" s="12"/>
      <c r="B53" s="13"/>
      <c r="C53" t="s" s="91">
        <v>261</v>
      </c>
      <c r="D53" s="92">
        <v>0</v>
      </c>
      <c r="E53" s="92">
        <v>4</v>
      </c>
      <c r="F53" s="92">
        <v>0</v>
      </c>
      <c r="G53" s="92">
        <v>0</v>
      </c>
      <c r="H53" s="92">
        <v>0</v>
      </c>
    </row>
    <row r="54" ht="20.8" customHeight="1">
      <c r="A54" s="12"/>
      <c r="B54" t="s" s="90">
        <v>476</v>
      </c>
      <c r="C54" t="s" s="91">
        <v>477</v>
      </c>
      <c r="D54" s="92">
        <v>0</v>
      </c>
      <c r="E54" s="92">
        <v>0</v>
      </c>
      <c r="F54" s="92">
        <v>2</v>
      </c>
      <c r="G54" s="92">
        <v>1</v>
      </c>
      <c r="H54" s="92">
        <v>1</v>
      </c>
    </row>
    <row r="55" ht="20.8" customHeight="1">
      <c r="A55" s="12"/>
      <c r="B55" s="13"/>
      <c r="C55" t="s" s="91">
        <v>478</v>
      </c>
      <c r="D55" s="92">
        <v>0</v>
      </c>
      <c r="E55" s="92">
        <v>2</v>
      </c>
      <c r="F55" s="92">
        <v>0</v>
      </c>
      <c r="G55" s="92">
        <v>0</v>
      </c>
      <c r="H55" s="92">
        <v>0</v>
      </c>
    </row>
    <row r="56" ht="20.8" customHeight="1">
      <c r="A56" s="12"/>
      <c r="B56" t="s" s="90">
        <v>479</v>
      </c>
      <c r="C56" t="s" s="91">
        <v>480</v>
      </c>
      <c r="D56" s="92">
        <v>0</v>
      </c>
      <c r="E56" s="92">
        <v>1</v>
      </c>
      <c r="F56" s="92">
        <v>1</v>
      </c>
      <c r="G56" s="92">
        <v>0</v>
      </c>
      <c r="H56" s="92">
        <v>0</v>
      </c>
    </row>
    <row r="57" ht="20.8" customHeight="1">
      <c r="A57" s="12"/>
      <c r="B57" s="13"/>
      <c r="C57" t="s" s="91">
        <v>481</v>
      </c>
      <c r="D57" s="92">
        <v>0</v>
      </c>
      <c r="E57" s="92">
        <v>7</v>
      </c>
      <c r="F57" s="92">
        <v>2</v>
      </c>
      <c r="G57" s="92">
        <v>0</v>
      </c>
      <c r="H57" s="92">
        <v>0</v>
      </c>
    </row>
    <row r="58" ht="20.8" customHeight="1">
      <c r="A58" s="12"/>
      <c r="B58" s="13"/>
      <c r="C58" t="s" s="91">
        <v>482</v>
      </c>
      <c r="D58" s="92">
        <v>0</v>
      </c>
      <c r="E58" s="92">
        <v>3</v>
      </c>
      <c r="F58" s="92">
        <v>0</v>
      </c>
      <c r="G58" s="92">
        <v>0</v>
      </c>
      <c r="H58" s="92">
        <v>0</v>
      </c>
    </row>
    <row r="59" ht="20.8" customHeight="1">
      <c r="A59" s="12"/>
      <c r="B59" s="13"/>
      <c r="C59" t="s" s="91">
        <v>483</v>
      </c>
      <c r="D59" s="92">
        <v>0</v>
      </c>
      <c r="E59" s="92">
        <v>2</v>
      </c>
      <c r="F59" s="92">
        <v>0</v>
      </c>
      <c r="G59" s="92">
        <v>0</v>
      </c>
      <c r="H59" s="92">
        <v>0</v>
      </c>
    </row>
    <row r="60" ht="20.05" customHeight="1">
      <c r="A60" t="s" s="59">
        <v>379</v>
      </c>
      <c r="B60" t="s" s="60">
        <v>380</v>
      </c>
      <c r="C60" t="s" s="61">
        <v>381</v>
      </c>
      <c r="D60" s="62">
        <v>1</v>
      </c>
      <c r="E60" s="62">
        <v>3</v>
      </c>
      <c r="F60" s="62">
        <v>0</v>
      </c>
      <c r="G60" s="62">
        <v>0</v>
      </c>
      <c r="H60" s="62">
        <v>0</v>
      </c>
    </row>
    <row r="61" ht="20.05" customHeight="1">
      <c r="A61" s="12"/>
      <c r="B61" s="13"/>
      <c r="C61" t="s" s="61">
        <v>382</v>
      </c>
      <c r="D61" s="62">
        <v>0</v>
      </c>
      <c r="E61" s="62">
        <v>2</v>
      </c>
      <c r="F61" s="62">
        <v>1</v>
      </c>
      <c r="G61" s="62">
        <v>0</v>
      </c>
      <c r="H61" s="62">
        <v>0</v>
      </c>
    </row>
    <row r="62" ht="20.05" customHeight="1">
      <c r="A62" s="12"/>
      <c r="B62" s="13"/>
      <c r="C62" t="s" s="61">
        <v>384</v>
      </c>
      <c r="D62" s="62">
        <v>0</v>
      </c>
      <c r="E62" s="62">
        <v>2</v>
      </c>
      <c r="F62" s="62">
        <v>0</v>
      </c>
      <c r="G62" s="62">
        <v>0</v>
      </c>
      <c r="H62" s="62">
        <v>0</v>
      </c>
    </row>
    <row r="63" ht="20.05" customHeight="1">
      <c r="A63" s="12"/>
      <c r="B63" s="13"/>
      <c r="C63" t="s" s="61">
        <v>383</v>
      </c>
      <c r="D63" s="62">
        <v>0</v>
      </c>
      <c r="E63" s="62">
        <v>5</v>
      </c>
      <c r="F63" s="62">
        <v>2</v>
      </c>
      <c r="G63" s="62">
        <v>0</v>
      </c>
      <c r="H63" s="62">
        <v>0</v>
      </c>
    </row>
    <row r="64" ht="20.05" customHeight="1">
      <c r="A64" s="12"/>
      <c r="B64" s="13"/>
      <c r="C64" t="s" s="61">
        <v>385</v>
      </c>
      <c r="D64" s="62">
        <v>0</v>
      </c>
      <c r="E64" s="62">
        <v>4</v>
      </c>
      <c r="F64" s="62">
        <v>1</v>
      </c>
      <c r="G64" s="62">
        <v>0</v>
      </c>
      <c r="H64" s="62">
        <v>0</v>
      </c>
    </row>
    <row r="65" ht="20.05" customHeight="1">
      <c r="A65" s="12"/>
      <c r="B65" s="13"/>
      <c r="C65" t="s" s="61">
        <v>386</v>
      </c>
      <c r="D65" s="62">
        <v>0</v>
      </c>
      <c r="E65" s="62">
        <v>4</v>
      </c>
      <c r="F65" s="62">
        <v>1</v>
      </c>
      <c r="G65" s="62">
        <v>0</v>
      </c>
      <c r="H65" s="62">
        <v>0</v>
      </c>
    </row>
    <row r="66" ht="20.05" customHeight="1">
      <c r="A66" s="12"/>
      <c r="B66" s="13"/>
      <c r="C66" t="s" s="61">
        <v>387</v>
      </c>
      <c r="D66" s="62">
        <v>0</v>
      </c>
      <c r="E66" s="62">
        <v>2</v>
      </c>
      <c r="F66" s="62">
        <v>0</v>
      </c>
      <c r="G66" s="62">
        <v>0</v>
      </c>
      <c r="H66" s="62">
        <v>0</v>
      </c>
    </row>
    <row r="67" ht="20.05" customHeight="1">
      <c r="A67" s="12"/>
      <c r="B67" s="13"/>
      <c r="C67" t="s" s="61">
        <v>388</v>
      </c>
      <c r="D67" s="62">
        <v>0</v>
      </c>
      <c r="E67" s="62">
        <v>2</v>
      </c>
      <c r="F67" s="62">
        <v>0</v>
      </c>
      <c r="G67" s="62">
        <v>0</v>
      </c>
      <c r="H67" s="62">
        <v>0</v>
      </c>
    </row>
    <row r="68" ht="20.05" customHeight="1">
      <c r="A68" s="12"/>
      <c r="B68" s="13"/>
      <c r="C68" t="s" s="61">
        <v>389</v>
      </c>
      <c r="D68" s="62">
        <v>0</v>
      </c>
      <c r="E68" s="62">
        <v>2</v>
      </c>
      <c r="F68" s="62">
        <v>0</v>
      </c>
      <c r="G68" s="62">
        <v>0</v>
      </c>
      <c r="H68" s="62">
        <v>0</v>
      </c>
    </row>
    <row r="69" ht="20.05" customHeight="1">
      <c r="A69" s="12"/>
      <c r="B69" t="s" s="60">
        <v>484</v>
      </c>
      <c r="C69" t="s" s="61">
        <v>485</v>
      </c>
      <c r="D69" s="62">
        <v>0</v>
      </c>
      <c r="E69" s="62">
        <v>6</v>
      </c>
      <c r="F69" s="62">
        <v>1</v>
      </c>
      <c r="G69" s="62">
        <v>0</v>
      </c>
      <c r="H69" s="62">
        <v>0</v>
      </c>
    </row>
    <row r="70" ht="20.05" customHeight="1">
      <c r="A70" s="12"/>
      <c r="B70" s="13"/>
      <c r="C70" t="s" s="61">
        <v>486</v>
      </c>
      <c r="D70" s="62">
        <v>0</v>
      </c>
      <c r="E70" s="62">
        <v>2</v>
      </c>
      <c r="F70" s="62">
        <v>2</v>
      </c>
      <c r="G70" s="62">
        <v>0</v>
      </c>
      <c r="H70" s="62">
        <v>0</v>
      </c>
    </row>
    <row r="71" ht="20.05" customHeight="1">
      <c r="A71" s="12"/>
      <c r="B71" s="13"/>
      <c r="C71" t="s" s="61">
        <v>487</v>
      </c>
      <c r="D71" s="62">
        <v>0</v>
      </c>
      <c r="E71" s="62">
        <v>1</v>
      </c>
      <c r="F71" s="62">
        <v>1</v>
      </c>
      <c r="G71" s="62">
        <v>0</v>
      </c>
      <c r="H71" s="62">
        <v>0</v>
      </c>
    </row>
    <row r="72" ht="20.05" customHeight="1">
      <c r="A72" s="12"/>
      <c r="B72" s="13"/>
      <c r="C72" t="s" s="61">
        <v>488</v>
      </c>
      <c r="D72" s="62">
        <v>0</v>
      </c>
      <c r="E72" s="62">
        <v>1</v>
      </c>
      <c r="F72" s="62">
        <v>3</v>
      </c>
      <c r="G72" s="62">
        <v>0</v>
      </c>
      <c r="H72" s="62">
        <v>0</v>
      </c>
    </row>
    <row r="73" ht="20.05" customHeight="1">
      <c r="A73" s="12"/>
      <c r="B73" s="13"/>
      <c r="C73" t="s" s="61">
        <v>489</v>
      </c>
      <c r="D73" s="62">
        <v>0</v>
      </c>
      <c r="E73" s="62">
        <v>4</v>
      </c>
      <c r="F73" s="62">
        <v>2</v>
      </c>
      <c r="G73" s="62">
        <v>0</v>
      </c>
      <c r="H73" s="62">
        <v>0</v>
      </c>
    </row>
    <row r="74" ht="20.05" customHeight="1">
      <c r="A74" s="12"/>
      <c r="B74" s="13"/>
      <c r="C74" t="s" s="61">
        <v>490</v>
      </c>
      <c r="D74" s="62">
        <v>0</v>
      </c>
      <c r="E74" s="62">
        <v>4</v>
      </c>
      <c r="F74" s="62">
        <v>0</v>
      </c>
      <c r="G74" s="62">
        <v>0</v>
      </c>
      <c r="H74" s="62">
        <v>0</v>
      </c>
    </row>
    <row r="75" ht="20.05" customHeight="1">
      <c r="A75" s="12"/>
      <c r="B75" s="13"/>
      <c r="C75" t="s" s="61">
        <v>491</v>
      </c>
      <c r="D75" s="62">
        <v>0</v>
      </c>
      <c r="E75" s="62">
        <v>1</v>
      </c>
      <c r="F75" s="62">
        <v>0</v>
      </c>
      <c r="G75" s="62">
        <v>0</v>
      </c>
      <c r="H75" s="62">
        <v>0</v>
      </c>
    </row>
    <row r="76" ht="20.05" customHeight="1">
      <c r="A76" s="12"/>
      <c r="B76" s="13"/>
      <c r="C76" t="s" s="61">
        <v>492</v>
      </c>
      <c r="D76" s="62">
        <v>0</v>
      </c>
      <c r="E76" s="92">
        <v>0</v>
      </c>
      <c r="F76" s="92">
        <v>0</v>
      </c>
      <c r="G76" s="62">
        <v>0</v>
      </c>
      <c r="H76" s="62">
        <v>0</v>
      </c>
    </row>
    <row r="77" ht="20.05" customHeight="1">
      <c r="A77" s="12"/>
      <c r="B77" s="13"/>
      <c r="C77" t="s" s="61">
        <v>493</v>
      </c>
      <c r="D77" s="62">
        <v>0</v>
      </c>
      <c r="E77" s="62">
        <v>0</v>
      </c>
      <c r="F77" s="62">
        <v>3</v>
      </c>
      <c r="G77" s="62">
        <v>0</v>
      </c>
      <c r="H77" s="62">
        <v>0</v>
      </c>
    </row>
    <row r="78" ht="20.05" customHeight="1">
      <c r="A78" s="12"/>
      <c r="B78" s="13"/>
      <c r="C78" t="s" s="61">
        <v>494</v>
      </c>
      <c r="D78" s="62">
        <v>0</v>
      </c>
      <c r="E78" s="62">
        <v>0</v>
      </c>
      <c r="F78" s="62">
        <v>3</v>
      </c>
      <c r="G78" s="62">
        <v>0</v>
      </c>
      <c r="H78" s="62">
        <v>0</v>
      </c>
    </row>
    <row r="79" ht="20.05" customHeight="1">
      <c r="A79" s="12"/>
      <c r="B79" t="s" s="60">
        <v>495</v>
      </c>
      <c r="C79" t="s" s="61">
        <v>496</v>
      </c>
      <c r="D79" s="62">
        <v>1</v>
      </c>
      <c r="E79" s="62">
        <v>11</v>
      </c>
      <c r="F79" s="62">
        <v>1</v>
      </c>
      <c r="G79" s="62">
        <v>0</v>
      </c>
      <c r="H79" s="62">
        <v>0</v>
      </c>
    </row>
    <row r="80" ht="20.05" customHeight="1">
      <c r="A80" s="12"/>
      <c r="B80" s="13"/>
      <c r="C80" t="s" s="61">
        <v>48</v>
      </c>
      <c r="D80" s="43">
        <v>1</v>
      </c>
      <c r="E80" s="43">
        <v>4</v>
      </c>
      <c r="F80" s="43">
        <v>0</v>
      </c>
      <c r="G80" s="43">
        <v>0</v>
      </c>
      <c r="H80" s="43">
        <v>1</v>
      </c>
    </row>
    <row r="81" ht="20.05" customHeight="1">
      <c r="A81" s="12"/>
      <c r="B81" s="13"/>
      <c r="C81" t="s" s="61">
        <v>49</v>
      </c>
      <c r="D81" s="62">
        <v>0</v>
      </c>
      <c r="E81" s="62">
        <v>5</v>
      </c>
      <c r="F81" s="62">
        <v>2</v>
      </c>
      <c r="G81" s="62">
        <v>0</v>
      </c>
      <c r="H81" s="62">
        <v>0</v>
      </c>
    </row>
    <row r="82" ht="20.05" customHeight="1">
      <c r="A82" t="s" s="19">
        <v>77</v>
      </c>
      <c r="B82" t="s" s="20">
        <v>78</v>
      </c>
      <c r="C82" t="s" s="21">
        <v>79</v>
      </c>
      <c r="D82" s="22">
        <v>0</v>
      </c>
      <c r="E82" s="22">
        <v>11</v>
      </c>
      <c r="F82" s="22">
        <v>0</v>
      </c>
      <c r="G82" s="22">
        <v>0</v>
      </c>
      <c r="H82" s="22">
        <v>0</v>
      </c>
    </row>
    <row r="83" ht="20.05" customHeight="1">
      <c r="A83" s="12"/>
      <c r="B83" s="13"/>
      <c r="C83" t="s" s="21">
        <v>81</v>
      </c>
      <c r="D83" s="22">
        <v>0</v>
      </c>
      <c r="E83" s="22">
        <v>18</v>
      </c>
      <c r="F83" s="22">
        <v>0</v>
      </c>
      <c r="G83" s="22">
        <v>0</v>
      </c>
      <c r="H83" s="22">
        <v>0</v>
      </c>
    </row>
    <row r="84" ht="32.05" customHeight="1">
      <c r="A84" s="12"/>
      <c r="B84" t="s" s="20">
        <v>82</v>
      </c>
      <c r="C84" t="s" s="21">
        <v>83</v>
      </c>
      <c r="D84" s="22">
        <v>0</v>
      </c>
      <c r="E84" s="22">
        <v>5</v>
      </c>
      <c r="F84" s="22">
        <v>0</v>
      </c>
      <c r="G84" s="22">
        <v>0</v>
      </c>
      <c r="H84" s="22">
        <v>0</v>
      </c>
    </row>
    <row r="85" ht="20.05" customHeight="1">
      <c r="A85" s="12"/>
      <c r="B85" t="s" s="20">
        <v>89</v>
      </c>
      <c r="C85" t="s" s="21">
        <v>90</v>
      </c>
      <c r="D85" s="22">
        <v>1</v>
      </c>
      <c r="E85" s="22">
        <v>4</v>
      </c>
      <c r="F85" s="22">
        <v>0</v>
      </c>
      <c r="G85" s="22">
        <v>0</v>
      </c>
      <c r="H85" s="22">
        <v>0</v>
      </c>
    </row>
    <row r="86" ht="20.05" customHeight="1">
      <c r="A86" s="12"/>
      <c r="B86" s="13"/>
      <c r="C86" t="s" s="21">
        <v>91</v>
      </c>
      <c r="D86" s="22">
        <v>0</v>
      </c>
      <c r="E86" s="22">
        <v>2</v>
      </c>
      <c r="F86" s="22">
        <v>0</v>
      </c>
      <c r="G86" s="22">
        <v>0</v>
      </c>
      <c r="H86" s="22">
        <v>0</v>
      </c>
    </row>
    <row r="87" ht="25.75" customHeight="1">
      <c r="A87" t="s" s="93">
        <v>497</v>
      </c>
      <c r="B87" t="s" s="94">
        <v>498</v>
      </c>
      <c r="C87" t="s" s="95">
        <v>499</v>
      </c>
      <c r="D87" s="96">
        <v>0</v>
      </c>
      <c r="E87" s="97">
        <v>1</v>
      </c>
      <c r="F87" s="97">
        <v>0</v>
      </c>
      <c r="G87" s="96">
        <v>0</v>
      </c>
      <c r="H87" s="96">
        <v>0</v>
      </c>
    </row>
    <row r="88" ht="25.75" customHeight="1">
      <c r="A88" s="12"/>
      <c r="B88" s="13"/>
      <c r="C88" t="s" s="95">
        <v>500</v>
      </c>
      <c r="D88" s="96">
        <v>0</v>
      </c>
      <c r="E88" s="96">
        <v>3</v>
      </c>
      <c r="F88" s="96">
        <v>0</v>
      </c>
      <c r="G88" s="96">
        <v>0</v>
      </c>
      <c r="H88" s="96">
        <v>0</v>
      </c>
    </row>
    <row r="89" ht="25.75" customHeight="1">
      <c r="A89" s="12"/>
      <c r="B89" s="13"/>
      <c r="C89" t="s" s="95">
        <v>501</v>
      </c>
      <c r="D89" s="96">
        <v>0</v>
      </c>
      <c r="E89" s="96">
        <v>2</v>
      </c>
      <c r="F89" s="96">
        <v>0</v>
      </c>
      <c r="G89" s="96">
        <v>0</v>
      </c>
      <c r="H89" s="96">
        <v>0</v>
      </c>
    </row>
    <row r="90" ht="25.75" customHeight="1">
      <c r="A90" s="12"/>
      <c r="B90" s="13"/>
      <c r="C90" t="s" s="95">
        <v>502</v>
      </c>
      <c r="D90" s="96">
        <v>0</v>
      </c>
      <c r="E90" s="96">
        <v>2</v>
      </c>
      <c r="F90" s="96">
        <v>0</v>
      </c>
      <c r="G90" s="96">
        <v>0</v>
      </c>
      <c r="H90" s="96">
        <v>0</v>
      </c>
    </row>
    <row r="91" ht="25.75" customHeight="1">
      <c r="A91" s="12"/>
      <c r="B91" s="13"/>
      <c r="C91" t="s" s="95">
        <v>503</v>
      </c>
      <c r="D91" s="96">
        <v>0</v>
      </c>
      <c r="E91" s="98">
        <v>1</v>
      </c>
      <c r="F91" s="98">
        <v>0</v>
      </c>
      <c r="G91" s="96">
        <v>0</v>
      </c>
      <c r="H91" s="96">
        <v>0</v>
      </c>
    </row>
    <row r="92" ht="25.75" customHeight="1">
      <c r="A92" s="12"/>
      <c r="B92" s="13"/>
      <c r="C92" t="s" s="95">
        <v>504</v>
      </c>
      <c r="D92" s="96">
        <v>0</v>
      </c>
      <c r="E92" s="96">
        <v>1</v>
      </c>
      <c r="F92" s="96">
        <v>0</v>
      </c>
      <c r="G92" s="96">
        <v>0</v>
      </c>
      <c r="H92" s="96">
        <v>0</v>
      </c>
    </row>
    <row r="93" ht="25.75" customHeight="1">
      <c r="A93" s="12"/>
      <c r="B93" t="s" s="94">
        <v>505</v>
      </c>
      <c r="C93" t="s" s="95">
        <v>506</v>
      </c>
      <c r="D93" s="96">
        <v>1</v>
      </c>
      <c r="E93" s="96">
        <v>1</v>
      </c>
      <c r="F93" s="96">
        <v>0</v>
      </c>
      <c r="G93" s="96">
        <v>0</v>
      </c>
      <c r="H93" s="96">
        <v>0</v>
      </c>
    </row>
    <row r="94" ht="25.75" customHeight="1">
      <c r="A94" s="12"/>
      <c r="B94" s="13"/>
      <c r="C94" t="s" s="95">
        <v>507</v>
      </c>
      <c r="D94" s="96">
        <v>0</v>
      </c>
      <c r="E94" s="96">
        <v>1</v>
      </c>
      <c r="F94" s="96">
        <v>0</v>
      </c>
      <c r="G94" s="96">
        <v>0</v>
      </c>
      <c r="H94" s="96">
        <v>0</v>
      </c>
    </row>
    <row r="95" ht="25.75" customHeight="1">
      <c r="A95" s="12"/>
      <c r="B95" s="13"/>
      <c r="C95" t="s" s="95">
        <v>508</v>
      </c>
      <c r="D95" s="96">
        <v>0</v>
      </c>
      <c r="E95" s="96">
        <v>14</v>
      </c>
      <c r="F95" s="96">
        <v>0</v>
      </c>
      <c r="G95" s="96">
        <v>0</v>
      </c>
      <c r="H95" s="96">
        <v>0</v>
      </c>
    </row>
    <row r="96" ht="25.75" customHeight="1">
      <c r="A96" s="12"/>
      <c r="B96" s="13"/>
      <c r="C96" t="s" s="95">
        <v>509</v>
      </c>
      <c r="D96" s="96">
        <v>0</v>
      </c>
      <c r="E96" s="96">
        <v>1</v>
      </c>
      <c r="F96" s="96">
        <v>0</v>
      </c>
      <c r="G96" s="96">
        <v>0</v>
      </c>
      <c r="H96" s="96">
        <v>0</v>
      </c>
    </row>
    <row r="97" ht="25.75" customHeight="1">
      <c r="A97" s="12"/>
      <c r="B97" t="s" s="94">
        <v>510</v>
      </c>
      <c r="C97" t="s" s="95">
        <v>510</v>
      </c>
      <c r="D97" s="96">
        <v>0</v>
      </c>
      <c r="E97" s="96">
        <v>2</v>
      </c>
      <c r="F97" s="96">
        <v>0</v>
      </c>
      <c r="G97" s="96">
        <v>0</v>
      </c>
      <c r="H97" s="96">
        <v>0</v>
      </c>
    </row>
    <row r="98" ht="25.75" customHeight="1">
      <c r="A98" s="12"/>
      <c r="B98" t="s" s="94">
        <v>511</v>
      </c>
      <c r="C98" t="s" s="95">
        <v>441</v>
      </c>
      <c r="D98" s="96">
        <v>0</v>
      </c>
      <c r="E98" s="96">
        <v>7</v>
      </c>
      <c r="F98" s="96">
        <v>0</v>
      </c>
      <c r="G98" s="96">
        <v>0</v>
      </c>
      <c r="H98" s="96">
        <v>0</v>
      </c>
    </row>
    <row r="99" ht="25.75" customHeight="1">
      <c r="A99" s="12"/>
      <c r="B99" s="13"/>
      <c r="C99" t="s" s="95">
        <v>512</v>
      </c>
      <c r="D99" s="96">
        <v>0</v>
      </c>
      <c r="E99" s="96">
        <v>2</v>
      </c>
      <c r="F99" s="96">
        <v>0</v>
      </c>
      <c r="G99" s="96">
        <v>0</v>
      </c>
      <c r="H99" s="96">
        <v>0</v>
      </c>
    </row>
    <row r="100" ht="25.75" customHeight="1">
      <c r="A100" s="12"/>
      <c r="B100" t="s" s="94">
        <v>513</v>
      </c>
      <c r="C100" t="s" s="95">
        <v>514</v>
      </c>
      <c r="D100" s="96">
        <v>0</v>
      </c>
      <c r="E100" s="96">
        <v>2</v>
      </c>
      <c r="F100" s="96">
        <v>0</v>
      </c>
      <c r="G100" s="96">
        <v>0</v>
      </c>
      <c r="H100" s="96">
        <v>0</v>
      </c>
    </row>
    <row r="101" ht="25.75" customHeight="1">
      <c r="A101" s="12"/>
      <c r="B101" s="13"/>
      <c r="C101" t="s" s="95">
        <v>515</v>
      </c>
      <c r="D101" s="96">
        <v>0</v>
      </c>
      <c r="E101" s="96">
        <v>1</v>
      </c>
      <c r="F101" s="96">
        <v>0</v>
      </c>
      <c r="G101" s="96">
        <v>0</v>
      </c>
      <c r="H101" s="96">
        <v>0</v>
      </c>
    </row>
    <row r="102" ht="25.75" customHeight="1">
      <c r="A102" s="12"/>
      <c r="B102" t="s" s="94">
        <v>516</v>
      </c>
      <c r="C102" t="s" s="95">
        <v>517</v>
      </c>
      <c r="D102" s="96">
        <v>0</v>
      </c>
      <c r="E102" s="96">
        <v>2</v>
      </c>
      <c r="F102" s="96">
        <v>0</v>
      </c>
      <c r="G102" s="96">
        <v>0</v>
      </c>
      <c r="H102" s="96">
        <v>0</v>
      </c>
    </row>
    <row r="103" ht="25.75" customHeight="1">
      <c r="A103" s="12"/>
      <c r="B103" s="13"/>
      <c r="C103" t="s" s="95">
        <v>518</v>
      </c>
      <c r="D103" s="96">
        <v>0</v>
      </c>
      <c r="E103" s="96">
        <v>1</v>
      </c>
      <c r="F103" s="96">
        <v>0</v>
      </c>
      <c r="G103" s="96">
        <v>0</v>
      </c>
      <c r="H103" s="96">
        <v>0</v>
      </c>
    </row>
    <row r="104" ht="25.75" customHeight="1">
      <c r="A104" s="12"/>
      <c r="B104" s="13"/>
      <c r="C104" t="s" s="95">
        <v>519</v>
      </c>
      <c r="D104" s="96">
        <v>0</v>
      </c>
      <c r="E104" s="96">
        <v>1</v>
      </c>
      <c r="F104" s="96">
        <v>0</v>
      </c>
      <c r="G104" s="96">
        <v>0</v>
      </c>
      <c r="H104" s="96">
        <v>0</v>
      </c>
    </row>
    <row r="105" ht="25.75" customHeight="1">
      <c r="A105" s="12"/>
      <c r="B105" s="13"/>
      <c r="C105" t="s" s="95">
        <v>520</v>
      </c>
      <c r="D105" s="96">
        <v>0</v>
      </c>
      <c r="E105" s="96">
        <v>3</v>
      </c>
      <c r="F105" s="96">
        <v>0</v>
      </c>
      <c r="G105" s="96">
        <v>0</v>
      </c>
      <c r="H105" s="96">
        <v>0</v>
      </c>
    </row>
    <row r="106" ht="25.75" customHeight="1">
      <c r="A106" s="12"/>
      <c r="B106" s="13"/>
      <c r="C106" t="s" s="95">
        <v>521</v>
      </c>
      <c r="D106" s="96">
        <v>0</v>
      </c>
      <c r="E106" s="86"/>
      <c r="F106" s="29">
        <v>0</v>
      </c>
      <c r="G106" s="96">
        <v>0</v>
      </c>
      <c r="H106" s="96">
        <v>0</v>
      </c>
    </row>
    <row r="107" ht="23.95" customHeight="1">
      <c r="A107" t="s" s="26">
        <v>92</v>
      </c>
      <c r="B107" t="s" s="27">
        <v>93</v>
      </c>
      <c r="C107" t="s" s="28">
        <v>93</v>
      </c>
      <c r="D107" s="29">
        <v>1</v>
      </c>
      <c r="E107" s="29">
        <v>2</v>
      </c>
      <c r="F107" s="29">
        <v>7</v>
      </c>
      <c r="G107" s="29">
        <v>1</v>
      </c>
      <c r="H107" s="29">
        <v>1</v>
      </c>
    </row>
    <row r="108" ht="23.95" customHeight="1">
      <c r="A108" s="12"/>
      <c r="B108" t="s" s="27">
        <v>94</v>
      </c>
      <c r="C108" t="s" s="28">
        <v>94</v>
      </c>
      <c r="D108" s="29">
        <v>0</v>
      </c>
      <c r="E108" s="29">
        <v>2</v>
      </c>
      <c r="F108" s="29">
        <v>3</v>
      </c>
      <c r="G108" s="29">
        <v>0</v>
      </c>
      <c r="H108" s="29">
        <v>0</v>
      </c>
    </row>
    <row r="109" ht="23.95" customHeight="1">
      <c r="A109" s="12"/>
      <c r="B109" t="s" s="27">
        <v>95</v>
      </c>
      <c r="C109" t="s" s="28">
        <v>95</v>
      </c>
      <c r="D109" s="29">
        <v>1</v>
      </c>
      <c r="E109" s="29">
        <v>11</v>
      </c>
      <c r="F109" s="29">
        <v>3</v>
      </c>
      <c r="G109" s="29">
        <v>1</v>
      </c>
      <c r="H109" s="29">
        <v>1</v>
      </c>
    </row>
    <row r="110" ht="23.95" customHeight="1">
      <c r="A110" s="12"/>
      <c r="B110" t="s" s="27">
        <v>96</v>
      </c>
      <c r="C110" t="s" s="28">
        <v>96</v>
      </c>
      <c r="D110" s="29">
        <v>0</v>
      </c>
      <c r="E110" s="29">
        <v>3</v>
      </c>
      <c r="F110" s="29">
        <v>2</v>
      </c>
      <c r="G110" s="29">
        <v>0</v>
      </c>
      <c r="H110" s="29">
        <v>0</v>
      </c>
    </row>
    <row r="111" ht="23.95" customHeight="1">
      <c r="A111" s="12"/>
      <c r="B111" t="s" s="27">
        <v>98</v>
      </c>
      <c r="C111" t="s" s="28">
        <v>98</v>
      </c>
      <c r="D111" s="29">
        <v>0</v>
      </c>
      <c r="E111" s="29">
        <v>3</v>
      </c>
      <c r="F111" s="29">
        <v>2</v>
      </c>
      <c r="G111" s="29">
        <v>0</v>
      </c>
      <c r="H111" s="29">
        <v>1</v>
      </c>
    </row>
    <row r="112" ht="23.95" customHeight="1">
      <c r="A112" s="12"/>
      <c r="B112" t="s" s="27">
        <v>99</v>
      </c>
      <c r="C112" t="s" s="28">
        <v>100</v>
      </c>
      <c r="D112" s="29">
        <v>0</v>
      </c>
      <c r="E112" s="29">
        <v>3</v>
      </c>
      <c r="F112" s="29">
        <v>3</v>
      </c>
      <c r="G112" s="29">
        <v>0</v>
      </c>
      <c r="H112" s="29">
        <v>0</v>
      </c>
    </row>
    <row r="113" ht="23.95" customHeight="1">
      <c r="A113" s="12"/>
      <c r="B113" t="s" s="27">
        <v>101</v>
      </c>
      <c r="C113" t="s" s="28">
        <v>101</v>
      </c>
      <c r="D113" s="29">
        <v>0</v>
      </c>
      <c r="E113" s="29">
        <v>2</v>
      </c>
      <c r="F113" s="29">
        <v>2</v>
      </c>
      <c r="G113" s="29">
        <v>0</v>
      </c>
      <c r="H113" s="29">
        <v>0</v>
      </c>
    </row>
    <row r="114" ht="20.05" customHeight="1">
      <c r="A114" s="12"/>
      <c r="B114" t="s" s="99">
        <v>522</v>
      </c>
      <c r="C114" t="s" s="28">
        <v>523</v>
      </c>
      <c r="D114" s="29">
        <v>0</v>
      </c>
      <c r="E114" s="29">
        <v>1</v>
      </c>
      <c r="F114" s="29">
        <v>0</v>
      </c>
      <c r="G114" s="29">
        <v>0</v>
      </c>
      <c r="H114" s="29">
        <v>0</v>
      </c>
    </row>
    <row r="115" ht="20.05" customHeight="1">
      <c r="A115" s="12"/>
      <c r="B115" s="13"/>
      <c r="C115" t="s" s="28">
        <v>524</v>
      </c>
      <c r="D115" s="29">
        <v>0</v>
      </c>
      <c r="E115" s="29">
        <v>2</v>
      </c>
      <c r="F115" s="29">
        <v>0</v>
      </c>
      <c r="G115" s="29">
        <v>0</v>
      </c>
      <c r="H115" s="29">
        <v>0</v>
      </c>
    </row>
    <row r="116" ht="20.05" customHeight="1">
      <c r="A116" s="12"/>
      <c r="B116" s="13"/>
      <c r="C116" t="s" s="28">
        <v>97</v>
      </c>
      <c r="D116" s="29">
        <v>1</v>
      </c>
      <c r="E116" s="29">
        <v>3</v>
      </c>
      <c r="F116" s="29">
        <v>6</v>
      </c>
      <c r="G116" s="29">
        <v>0</v>
      </c>
      <c r="H116" s="29">
        <v>0</v>
      </c>
    </row>
    <row r="117" ht="20.05" customHeight="1">
      <c r="A117" s="12"/>
      <c r="B117" s="13"/>
      <c r="C117" t="s" s="28">
        <v>102</v>
      </c>
      <c r="D117" s="29">
        <v>0</v>
      </c>
      <c r="E117" s="29">
        <v>4</v>
      </c>
      <c r="F117" s="29">
        <v>2</v>
      </c>
      <c r="G117" s="29">
        <v>0</v>
      </c>
      <c r="H117" s="29">
        <v>0</v>
      </c>
    </row>
    <row r="118" ht="20.05" customHeight="1">
      <c r="A118" s="12"/>
      <c r="B118" t="s" s="99">
        <v>525</v>
      </c>
      <c r="C118" t="s" s="28">
        <v>103</v>
      </c>
      <c r="D118" s="29">
        <v>0</v>
      </c>
      <c r="E118" s="29">
        <v>3</v>
      </c>
      <c r="F118" s="29">
        <v>2</v>
      </c>
      <c r="G118" s="29">
        <v>0</v>
      </c>
      <c r="H118" s="29">
        <v>0</v>
      </c>
    </row>
    <row r="119" ht="20.05" customHeight="1">
      <c r="A119" s="12"/>
      <c r="B119" s="13"/>
      <c r="C119" t="s" s="28">
        <v>526</v>
      </c>
      <c r="D119" s="29">
        <v>0</v>
      </c>
      <c r="E119" s="29">
        <v>4</v>
      </c>
      <c r="F119" s="29">
        <v>0</v>
      </c>
      <c r="G119" s="29">
        <v>0</v>
      </c>
      <c r="H119" s="29">
        <v>0</v>
      </c>
    </row>
    <row r="120" ht="20.05" customHeight="1">
      <c r="A120" s="12"/>
      <c r="B120" s="13"/>
      <c r="C120" t="s" s="28">
        <v>527</v>
      </c>
      <c r="D120" s="29">
        <v>0</v>
      </c>
      <c r="E120" s="29">
        <v>4</v>
      </c>
      <c r="F120" s="29">
        <v>0</v>
      </c>
      <c r="G120" s="29">
        <v>0</v>
      </c>
      <c r="H120" s="29">
        <v>0</v>
      </c>
    </row>
    <row r="121" ht="20.05" customHeight="1">
      <c r="A121" s="12"/>
      <c r="B121" s="13"/>
      <c r="C121" t="s" s="28">
        <v>528</v>
      </c>
      <c r="D121" s="29">
        <v>0</v>
      </c>
      <c r="E121" s="29">
        <v>3</v>
      </c>
      <c r="F121" s="29">
        <v>0</v>
      </c>
      <c r="G121" s="29">
        <v>0</v>
      </c>
      <c r="H121" s="29">
        <v>0</v>
      </c>
    </row>
    <row r="122" ht="20.05" customHeight="1">
      <c r="A122" t="s" s="100">
        <v>133</v>
      </c>
      <c r="B122" t="s" s="101">
        <v>529</v>
      </c>
      <c r="C122" t="s" s="102">
        <v>37</v>
      </c>
      <c r="D122" s="103">
        <v>1</v>
      </c>
      <c r="E122" s="103">
        <v>4</v>
      </c>
      <c r="F122" s="103">
        <v>5</v>
      </c>
      <c r="G122" s="103">
        <v>0</v>
      </c>
      <c r="H122" s="103">
        <v>0</v>
      </c>
    </row>
    <row r="123" ht="20.05" customHeight="1">
      <c r="A123" s="12"/>
      <c r="B123" s="13"/>
      <c r="C123" t="s" s="102">
        <v>38</v>
      </c>
      <c r="D123" s="103">
        <v>2</v>
      </c>
      <c r="E123" s="103">
        <v>2</v>
      </c>
      <c r="F123" s="103">
        <v>8</v>
      </c>
      <c r="G123" s="103">
        <v>1</v>
      </c>
      <c r="H123" s="103">
        <v>0</v>
      </c>
    </row>
    <row r="124" ht="20.05" customHeight="1">
      <c r="A124" s="12"/>
      <c r="B124" t="s" s="101">
        <v>530</v>
      </c>
      <c r="C124" t="s" s="102">
        <v>135</v>
      </c>
      <c r="D124" s="103">
        <v>0</v>
      </c>
      <c r="E124" s="103">
        <v>3</v>
      </c>
      <c r="F124" s="103">
        <v>4</v>
      </c>
      <c r="G124" s="103">
        <v>0</v>
      </c>
      <c r="H124" s="103">
        <v>0</v>
      </c>
    </row>
    <row r="125" ht="20.05" customHeight="1">
      <c r="A125" s="12"/>
      <c r="B125" s="13"/>
      <c r="C125" t="s" s="102">
        <v>134</v>
      </c>
      <c r="D125" s="103">
        <v>1</v>
      </c>
      <c r="E125" s="103">
        <v>2</v>
      </c>
      <c r="F125" s="103">
        <v>12</v>
      </c>
      <c r="G125" s="103">
        <v>0</v>
      </c>
      <c r="H125" s="103">
        <v>1</v>
      </c>
    </row>
    <row r="126" ht="23.95" customHeight="1">
      <c r="A126" s="12"/>
      <c r="B126" t="s" s="101">
        <v>531</v>
      </c>
      <c r="C126" t="s" s="102">
        <v>532</v>
      </c>
      <c r="D126" s="103">
        <v>0</v>
      </c>
      <c r="E126" s="103">
        <v>4</v>
      </c>
      <c r="F126" s="103">
        <v>2</v>
      </c>
      <c r="G126" s="103">
        <v>0</v>
      </c>
      <c r="H126" s="103">
        <v>0</v>
      </c>
    </row>
    <row r="127" ht="23.95" customHeight="1">
      <c r="A127" s="12"/>
      <c r="B127" t="s" s="101">
        <v>138</v>
      </c>
      <c r="C127" t="s" s="102">
        <v>533</v>
      </c>
      <c r="D127" s="103">
        <v>0</v>
      </c>
      <c r="E127" s="103">
        <v>5</v>
      </c>
      <c r="F127" s="103">
        <v>3</v>
      </c>
      <c r="G127" s="103">
        <v>0</v>
      </c>
      <c r="H127" s="103">
        <v>0</v>
      </c>
    </row>
    <row r="128" ht="20.05" customHeight="1">
      <c r="A128" s="12"/>
      <c r="B128" t="s" s="101">
        <v>534</v>
      </c>
      <c r="C128" t="s" s="102">
        <v>152</v>
      </c>
      <c r="D128" s="103">
        <v>0</v>
      </c>
      <c r="E128" s="103">
        <v>1</v>
      </c>
      <c r="F128" s="103">
        <v>0</v>
      </c>
      <c r="G128" s="103">
        <v>0</v>
      </c>
      <c r="H128" s="103">
        <v>0</v>
      </c>
    </row>
    <row r="129" ht="20.05" customHeight="1">
      <c r="A129" s="12"/>
      <c r="B129" s="13"/>
      <c r="C129" t="s" s="102">
        <v>153</v>
      </c>
      <c r="D129" s="103">
        <v>0</v>
      </c>
      <c r="E129" s="103">
        <v>0</v>
      </c>
      <c r="F129" s="103">
        <v>1</v>
      </c>
      <c r="G129" s="103">
        <v>0</v>
      </c>
      <c r="H129" s="103">
        <v>0</v>
      </c>
    </row>
    <row r="130" ht="20.05" customHeight="1">
      <c r="A130" s="12"/>
      <c r="B130" s="13"/>
      <c r="C130" t="s" s="102">
        <v>535</v>
      </c>
      <c r="D130" s="103">
        <v>0</v>
      </c>
      <c r="E130" s="103">
        <v>33</v>
      </c>
      <c r="F130" s="103">
        <v>2</v>
      </c>
      <c r="G130" s="103">
        <v>0</v>
      </c>
      <c r="H130" s="103">
        <v>0</v>
      </c>
    </row>
    <row r="131" ht="32.05" customHeight="1">
      <c r="A131" s="12"/>
      <c r="B131" t="s" s="101">
        <v>536</v>
      </c>
      <c r="C131" t="s" s="102">
        <v>140</v>
      </c>
      <c r="D131" s="103">
        <v>3</v>
      </c>
      <c r="E131" s="103">
        <v>3</v>
      </c>
      <c r="F131" s="103">
        <v>4</v>
      </c>
      <c r="G131" s="103">
        <v>1</v>
      </c>
      <c r="H131" s="103">
        <v>0</v>
      </c>
    </row>
    <row r="132" ht="20.05" customHeight="1">
      <c r="A132" s="12"/>
      <c r="B132" s="13"/>
      <c r="C132" t="s" s="102">
        <v>142</v>
      </c>
      <c r="D132" s="103">
        <v>0</v>
      </c>
      <c r="E132" s="103">
        <v>3</v>
      </c>
      <c r="F132" s="103">
        <v>1</v>
      </c>
      <c r="G132" s="103">
        <v>1</v>
      </c>
      <c r="H132" s="103">
        <v>1</v>
      </c>
    </row>
    <row r="133" ht="20.05" customHeight="1">
      <c r="A133" s="12"/>
      <c r="B133" s="13"/>
      <c r="C133" t="s" s="102">
        <v>143</v>
      </c>
      <c r="D133" s="103">
        <v>0</v>
      </c>
      <c r="E133" s="103">
        <v>1</v>
      </c>
      <c r="F133" s="103">
        <v>2</v>
      </c>
      <c r="G133" s="103">
        <v>0</v>
      </c>
      <c r="H133" s="103">
        <v>0</v>
      </c>
    </row>
    <row r="134" ht="20.05" customHeight="1">
      <c r="A134" s="12"/>
      <c r="B134" s="13"/>
      <c r="C134" t="s" s="102">
        <v>537</v>
      </c>
      <c r="D134" s="103">
        <v>0</v>
      </c>
      <c r="E134" s="103">
        <v>2</v>
      </c>
      <c r="F134" s="103">
        <v>1</v>
      </c>
      <c r="G134" s="103">
        <v>0</v>
      </c>
      <c r="H134" s="103">
        <v>0</v>
      </c>
    </row>
    <row r="135" ht="20.05" customHeight="1">
      <c r="A135" s="12"/>
      <c r="B135" s="13"/>
      <c r="C135" t="s" s="102">
        <v>538</v>
      </c>
      <c r="D135" s="103">
        <v>1</v>
      </c>
      <c r="E135" s="103">
        <v>3</v>
      </c>
      <c r="F135" s="103">
        <v>1</v>
      </c>
      <c r="G135" s="103">
        <v>0</v>
      </c>
      <c r="H135" s="103">
        <v>0</v>
      </c>
    </row>
    <row r="136" ht="20.05" customHeight="1">
      <c r="A136" s="12"/>
      <c r="B136" s="13"/>
      <c r="C136" t="s" s="102">
        <v>146</v>
      </c>
      <c r="D136" s="103">
        <v>0</v>
      </c>
      <c r="E136" s="103">
        <v>2</v>
      </c>
      <c r="F136" s="103">
        <v>1</v>
      </c>
      <c r="G136" s="103">
        <v>0</v>
      </c>
      <c r="H136" s="103">
        <v>0</v>
      </c>
    </row>
    <row r="137" ht="20.05" customHeight="1">
      <c r="A137" s="12"/>
      <c r="B137" s="13"/>
      <c r="C137" t="s" s="102">
        <v>147</v>
      </c>
      <c r="D137" s="103">
        <v>0</v>
      </c>
      <c r="E137" s="103">
        <v>2</v>
      </c>
      <c r="F137" s="103">
        <v>1</v>
      </c>
      <c r="G137" s="103">
        <v>0</v>
      </c>
      <c r="H137" s="103">
        <v>0</v>
      </c>
    </row>
    <row r="138" ht="20.05" customHeight="1">
      <c r="A138" s="12"/>
      <c r="B138" t="s" s="101">
        <v>148</v>
      </c>
      <c r="C138" t="s" s="102">
        <v>148</v>
      </c>
      <c r="D138" s="103">
        <v>1</v>
      </c>
      <c r="E138" s="103">
        <v>15</v>
      </c>
      <c r="F138" s="103">
        <v>5</v>
      </c>
      <c r="G138" s="103">
        <v>0</v>
      </c>
      <c r="H138" s="103">
        <v>0</v>
      </c>
    </row>
    <row r="139" ht="20.05" customHeight="1">
      <c r="A139" s="12"/>
      <c r="B139" s="13"/>
      <c r="C139" t="s" s="102">
        <v>149</v>
      </c>
      <c r="D139" s="103">
        <v>0</v>
      </c>
      <c r="E139" s="103">
        <v>3</v>
      </c>
      <c r="F139" s="103">
        <v>0</v>
      </c>
      <c r="G139" s="103">
        <v>0</v>
      </c>
      <c r="H139" s="103">
        <v>0</v>
      </c>
    </row>
    <row r="140" ht="20.05" customHeight="1">
      <c r="A140" s="12"/>
      <c r="B140" s="13"/>
      <c r="C140" t="s" s="102">
        <v>150</v>
      </c>
      <c r="D140" s="103">
        <v>0</v>
      </c>
      <c r="E140" s="103">
        <v>4</v>
      </c>
      <c r="F140" s="103">
        <v>2</v>
      </c>
      <c r="G140" s="103">
        <v>0</v>
      </c>
      <c r="H140" s="103">
        <v>0</v>
      </c>
    </row>
    <row r="141" ht="23.95" customHeight="1">
      <c r="A141" s="12"/>
      <c r="B141" t="s" s="101">
        <v>539</v>
      </c>
      <c r="C141" t="s" s="102">
        <v>539</v>
      </c>
      <c r="D141" s="103">
        <v>0</v>
      </c>
      <c r="E141" s="103">
        <v>1</v>
      </c>
      <c r="F141" s="103">
        <v>1</v>
      </c>
      <c r="G141" s="103">
        <v>0</v>
      </c>
      <c r="H141" s="103">
        <v>0</v>
      </c>
    </row>
    <row r="142" ht="23.95" customHeight="1">
      <c r="A142" s="12"/>
      <c r="B142" t="s" s="101">
        <v>540</v>
      </c>
      <c r="C142" t="s" s="102">
        <v>541</v>
      </c>
      <c r="D142" s="103">
        <v>0</v>
      </c>
      <c r="E142" s="103">
        <v>2</v>
      </c>
      <c r="F142" s="103">
        <v>1</v>
      </c>
      <c r="G142" s="103">
        <v>0</v>
      </c>
      <c r="H142" s="103">
        <v>0</v>
      </c>
    </row>
    <row r="143" ht="20.05" customHeight="1">
      <c r="A143" t="s" s="40">
        <v>542</v>
      </c>
      <c r="B143" t="s" s="41">
        <v>158</v>
      </c>
      <c r="C143" t="s" s="42">
        <v>159</v>
      </c>
      <c r="D143" s="43">
        <v>0</v>
      </c>
      <c r="E143" s="43">
        <v>3</v>
      </c>
      <c r="F143" s="43">
        <v>4</v>
      </c>
      <c r="G143" s="43">
        <v>0</v>
      </c>
      <c r="H143" s="43">
        <v>1</v>
      </c>
    </row>
    <row r="144" ht="32.05" customHeight="1">
      <c r="A144" s="12"/>
      <c r="B144" s="13"/>
      <c r="C144" t="s" s="42">
        <v>160</v>
      </c>
      <c r="D144" s="43">
        <v>1</v>
      </c>
      <c r="E144" s="43">
        <v>3</v>
      </c>
      <c r="F144" s="43">
        <v>4</v>
      </c>
      <c r="G144" s="43">
        <v>0</v>
      </c>
      <c r="H144" s="43">
        <v>0</v>
      </c>
    </row>
    <row r="145" ht="20.05" customHeight="1">
      <c r="A145" s="12"/>
      <c r="B145" s="13"/>
      <c r="C145" t="s" s="42">
        <v>161</v>
      </c>
      <c r="D145" s="43">
        <v>1</v>
      </c>
      <c r="E145" s="43">
        <v>2</v>
      </c>
      <c r="F145" s="43">
        <v>10</v>
      </c>
      <c r="G145" s="43">
        <v>0</v>
      </c>
      <c r="H145" s="43">
        <v>0</v>
      </c>
    </row>
    <row r="146" ht="20.05" customHeight="1">
      <c r="A146" s="12"/>
      <c r="B146" s="13"/>
      <c r="C146" t="s" s="42">
        <v>162</v>
      </c>
      <c r="D146" s="43">
        <v>1</v>
      </c>
      <c r="E146" s="43">
        <v>1</v>
      </c>
      <c r="F146" s="43">
        <v>3</v>
      </c>
      <c r="G146" s="43">
        <v>0</v>
      </c>
      <c r="H146" s="43">
        <v>0</v>
      </c>
    </row>
    <row r="147" ht="20.05" customHeight="1">
      <c r="A147" s="12"/>
      <c r="B147" s="13"/>
      <c r="C147" t="s" s="42">
        <v>163</v>
      </c>
      <c r="D147" s="43">
        <v>1</v>
      </c>
      <c r="E147" s="43">
        <v>1</v>
      </c>
      <c r="F147" s="43">
        <v>2</v>
      </c>
      <c r="G147" s="43">
        <v>0</v>
      </c>
      <c r="H147" s="43">
        <v>0</v>
      </c>
    </row>
    <row r="148" ht="20.05" customHeight="1">
      <c r="A148" s="12"/>
      <c r="B148" s="13"/>
      <c r="C148" t="s" s="42">
        <v>165</v>
      </c>
      <c r="D148" s="43">
        <v>1</v>
      </c>
      <c r="E148" s="43">
        <v>2</v>
      </c>
      <c r="F148" s="43">
        <v>5</v>
      </c>
      <c r="G148" s="43">
        <v>0</v>
      </c>
      <c r="H148" s="43">
        <v>1</v>
      </c>
    </row>
    <row r="149" ht="20.05" customHeight="1">
      <c r="A149" s="12"/>
      <c r="B149" t="s" s="41">
        <v>543</v>
      </c>
      <c r="C149" t="s" s="42">
        <v>168</v>
      </c>
      <c r="D149" s="43">
        <v>0</v>
      </c>
      <c r="E149" s="43">
        <v>0</v>
      </c>
      <c r="F149" s="43">
        <v>2</v>
      </c>
      <c r="G149" s="43">
        <v>0</v>
      </c>
      <c r="H149" s="43">
        <v>0</v>
      </c>
    </row>
    <row r="150" ht="20.05" customHeight="1">
      <c r="A150" s="12"/>
      <c r="B150" s="13"/>
      <c r="C150" t="s" s="42">
        <v>186</v>
      </c>
      <c r="D150" s="43">
        <v>1</v>
      </c>
      <c r="E150" s="43">
        <v>0</v>
      </c>
      <c r="F150" s="43">
        <v>2</v>
      </c>
      <c r="G150" s="43">
        <v>0</v>
      </c>
      <c r="H150" s="43">
        <v>0</v>
      </c>
    </row>
    <row r="151" ht="20.05" customHeight="1">
      <c r="A151" s="12"/>
      <c r="B151" t="s" s="41">
        <v>544</v>
      </c>
      <c r="C151" t="s" s="42">
        <v>164</v>
      </c>
      <c r="D151" s="43">
        <v>0</v>
      </c>
      <c r="E151" s="43">
        <v>2</v>
      </c>
      <c r="F151" s="43">
        <v>3</v>
      </c>
      <c r="G151" s="43">
        <v>1</v>
      </c>
      <c r="H151" s="43">
        <v>0</v>
      </c>
    </row>
    <row r="152" ht="32.05" customHeight="1">
      <c r="A152" s="12"/>
      <c r="B152" s="13"/>
      <c r="C152" t="s" s="42">
        <v>180</v>
      </c>
      <c r="D152" s="43">
        <v>0</v>
      </c>
      <c r="E152" s="43">
        <v>0</v>
      </c>
      <c r="F152" s="43">
        <v>2</v>
      </c>
      <c r="G152" s="43">
        <v>0</v>
      </c>
      <c r="H152" s="43">
        <v>0</v>
      </c>
    </row>
    <row r="153" ht="32.05" customHeight="1">
      <c r="A153" s="12"/>
      <c r="B153" s="13"/>
      <c r="C153" t="s" s="42">
        <v>181</v>
      </c>
      <c r="D153" s="43">
        <v>0</v>
      </c>
      <c r="E153" s="43">
        <v>0</v>
      </c>
      <c r="F153" s="43">
        <v>1</v>
      </c>
      <c r="G153" s="43">
        <v>0</v>
      </c>
      <c r="H153" s="43">
        <v>0</v>
      </c>
    </row>
    <row r="154" ht="20.05" customHeight="1">
      <c r="A154" s="12"/>
      <c r="B154" s="13"/>
      <c r="C154" t="s" s="42">
        <v>182</v>
      </c>
      <c r="D154" s="43">
        <v>0</v>
      </c>
      <c r="E154" s="43">
        <v>6</v>
      </c>
      <c r="F154" s="43">
        <v>2</v>
      </c>
      <c r="G154" s="43">
        <v>0</v>
      </c>
      <c r="H154" s="43">
        <v>0</v>
      </c>
    </row>
    <row r="155" ht="20.05" customHeight="1">
      <c r="A155" s="12"/>
      <c r="B155" t="s" s="41">
        <v>545</v>
      </c>
      <c r="C155" t="s" s="42">
        <v>187</v>
      </c>
      <c r="D155" s="43">
        <v>1</v>
      </c>
      <c r="E155" s="43">
        <v>4</v>
      </c>
      <c r="F155" s="43">
        <v>0</v>
      </c>
      <c r="G155" s="43">
        <v>0</v>
      </c>
      <c r="H155" s="43">
        <v>0</v>
      </c>
    </row>
    <row r="156" ht="20.05" customHeight="1">
      <c r="A156" s="12"/>
      <c r="B156" s="13"/>
      <c r="C156" t="s" s="42">
        <v>188</v>
      </c>
      <c r="D156" s="43">
        <v>1</v>
      </c>
      <c r="E156" s="43">
        <v>4</v>
      </c>
      <c r="F156" s="43">
        <v>0</v>
      </c>
      <c r="G156" s="43">
        <v>0</v>
      </c>
      <c r="H156" s="43">
        <v>0</v>
      </c>
    </row>
    <row r="157" ht="20.05" customHeight="1">
      <c r="A157" s="12"/>
      <c r="B157" s="13"/>
      <c r="C157" t="s" s="42">
        <v>189</v>
      </c>
      <c r="D157" s="43">
        <v>0</v>
      </c>
      <c r="E157" s="43">
        <v>1</v>
      </c>
      <c r="F157" s="43">
        <v>2</v>
      </c>
      <c r="G157" s="43">
        <v>0</v>
      </c>
      <c r="H157" s="43">
        <v>0</v>
      </c>
    </row>
    <row r="158" ht="20.05" customHeight="1">
      <c r="A158" s="12"/>
      <c r="B158" s="13"/>
      <c r="C158" t="s" s="42">
        <v>190</v>
      </c>
      <c r="D158" s="43">
        <v>0</v>
      </c>
      <c r="E158" s="43">
        <v>8</v>
      </c>
      <c r="F158" s="43">
        <v>2</v>
      </c>
      <c r="G158" s="43">
        <v>0</v>
      </c>
      <c r="H158" s="43">
        <v>0</v>
      </c>
    </row>
    <row r="159" ht="20.05" customHeight="1">
      <c r="A159" s="12"/>
      <c r="B159" t="s" s="41">
        <v>546</v>
      </c>
      <c r="C159" t="s" s="42">
        <v>176</v>
      </c>
      <c r="D159" s="43">
        <v>0</v>
      </c>
      <c r="E159" s="43">
        <v>1</v>
      </c>
      <c r="F159" s="43">
        <v>0</v>
      </c>
      <c r="G159" s="43">
        <v>0</v>
      </c>
      <c r="H159" s="43">
        <v>0</v>
      </c>
    </row>
    <row r="160" ht="20.05" customHeight="1">
      <c r="A160" s="12"/>
      <c r="B160" s="13"/>
      <c r="C160" t="s" s="42">
        <v>177</v>
      </c>
      <c r="D160" s="43">
        <v>0</v>
      </c>
      <c r="E160" s="43">
        <v>2</v>
      </c>
      <c r="F160" s="43">
        <v>3</v>
      </c>
      <c r="G160" s="43">
        <v>0</v>
      </c>
      <c r="H160" s="43">
        <v>0</v>
      </c>
    </row>
    <row r="161" ht="20.05" customHeight="1">
      <c r="A161" s="12"/>
      <c r="B161" s="13"/>
      <c r="C161" t="s" s="42">
        <v>178</v>
      </c>
      <c r="D161" s="43">
        <v>0</v>
      </c>
      <c r="E161" s="43">
        <v>3</v>
      </c>
      <c r="F161" s="43">
        <v>4</v>
      </c>
      <c r="G161" s="43">
        <v>0</v>
      </c>
      <c r="H161" s="43">
        <v>0</v>
      </c>
    </row>
    <row r="162" ht="20.05" customHeight="1">
      <c r="A162" s="12"/>
      <c r="B162" s="13"/>
      <c r="C162" t="s" s="42">
        <v>193</v>
      </c>
      <c r="D162" s="43">
        <v>0</v>
      </c>
      <c r="E162" s="43">
        <v>7</v>
      </c>
      <c r="F162" s="43">
        <v>3</v>
      </c>
      <c r="G162" s="43">
        <v>0</v>
      </c>
      <c r="H162" s="43">
        <v>0</v>
      </c>
    </row>
    <row r="163" ht="20.05" customHeight="1">
      <c r="A163" s="12"/>
      <c r="B163" t="s" s="41">
        <v>547</v>
      </c>
      <c r="C163" t="s" s="42">
        <v>170</v>
      </c>
      <c r="D163" s="43">
        <v>0</v>
      </c>
      <c r="E163" s="43">
        <v>2</v>
      </c>
      <c r="F163" s="43">
        <v>2</v>
      </c>
      <c r="G163" s="43">
        <v>0</v>
      </c>
      <c r="H163" s="43">
        <v>1</v>
      </c>
    </row>
    <row r="164" ht="20.05" customHeight="1">
      <c r="A164" s="12"/>
      <c r="B164" s="13"/>
      <c r="C164" t="s" s="42">
        <v>171</v>
      </c>
      <c r="D164" s="43">
        <v>1</v>
      </c>
      <c r="E164" s="43">
        <v>3</v>
      </c>
      <c r="F164" s="43">
        <v>2</v>
      </c>
      <c r="G164" s="43">
        <v>0</v>
      </c>
      <c r="H164" s="43">
        <v>0</v>
      </c>
    </row>
    <row r="165" ht="20.05" customHeight="1">
      <c r="A165" s="12"/>
      <c r="B165" s="13"/>
      <c r="C165" t="s" s="42">
        <v>172</v>
      </c>
      <c r="D165" s="43">
        <v>1</v>
      </c>
      <c r="E165" s="43">
        <v>2</v>
      </c>
      <c r="F165" s="43">
        <v>4</v>
      </c>
      <c r="G165" s="43">
        <v>0</v>
      </c>
      <c r="H165" s="43">
        <v>0</v>
      </c>
    </row>
    <row r="166" ht="20.05" customHeight="1">
      <c r="A166" s="12"/>
      <c r="B166" s="13"/>
      <c r="C166" t="s" s="42">
        <v>173</v>
      </c>
      <c r="D166" s="43">
        <v>0</v>
      </c>
      <c r="E166" s="43">
        <v>1</v>
      </c>
      <c r="F166" s="43">
        <v>3</v>
      </c>
      <c r="G166" s="43">
        <v>0</v>
      </c>
      <c r="H166" s="43">
        <v>0</v>
      </c>
    </row>
    <row r="167" ht="20.05" customHeight="1">
      <c r="A167" s="12"/>
      <c r="B167" s="13"/>
      <c r="C167" t="s" s="42">
        <v>174</v>
      </c>
      <c r="D167" s="43">
        <v>0</v>
      </c>
      <c r="E167" s="43">
        <v>3</v>
      </c>
      <c r="F167" s="43">
        <v>0</v>
      </c>
      <c r="G167" s="43">
        <v>0</v>
      </c>
      <c r="H167" s="43">
        <v>0</v>
      </c>
    </row>
    <row r="168" ht="20.05" customHeight="1">
      <c r="A168" s="12"/>
      <c r="B168" s="13"/>
      <c r="C168" t="s" s="42">
        <v>192</v>
      </c>
      <c r="D168" s="43">
        <v>0</v>
      </c>
      <c r="E168" s="43">
        <v>3</v>
      </c>
      <c r="F168" s="43">
        <v>4</v>
      </c>
      <c r="G168" s="43">
        <v>0</v>
      </c>
      <c r="H168" s="43">
        <v>0</v>
      </c>
    </row>
    <row r="169" ht="23.95" customHeight="1">
      <c r="A169" s="12"/>
      <c r="B169" t="s" s="41">
        <v>166</v>
      </c>
      <c r="C169" t="s" s="42">
        <v>166</v>
      </c>
      <c r="D169" s="43">
        <v>0</v>
      </c>
      <c r="E169" s="43">
        <v>2</v>
      </c>
      <c r="F169" s="43">
        <v>3</v>
      </c>
      <c r="G169" s="43">
        <v>0</v>
      </c>
      <c r="H169" s="43">
        <v>0</v>
      </c>
    </row>
    <row r="170" ht="20.05" customHeight="1">
      <c r="A170" s="12"/>
      <c r="B170" t="s" s="41">
        <v>548</v>
      </c>
      <c r="C170" t="s" s="42">
        <v>196</v>
      </c>
      <c r="D170" s="43">
        <v>1</v>
      </c>
      <c r="E170" s="43">
        <v>2</v>
      </c>
      <c r="F170" s="43">
        <v>9</v>
      </c>
      <c r="G170" s="43">
        <v>1</v>
      </c>
      <c r="H170" s="43">
        <v>1</v>
      </c>
    </row>
    <row r="171" ht="20.05" customHeight="1">
      <c r="A171" s="12"/>
      <c r="B171" s="13"/>
      <c r="C171" t="s" s="42">
        <v>197</v>
      </c>
      <c r="D171" s="43">
        <v>0</v>
      </c>
      <c r="E171" s="43">
        <v>6</v>
      </c>
      <c r="F171" s="43">
        <v>4</v>
      </c>
      <c r="G171" s="43">
        <v>0</v>
      </c>
      <c r="H171" s="43">
        <v>0</v>
      </c>
    </row>
    <row r="172" ht="20.05" customHeight="1">
      <c r="A172" t="s" s="44">
        <v>549</v>
      </c>
      <c r="B172" t="s" s="45">
        <v>200</v>
      </c>
      <c r="C172" t="s" s="46">
        <v>201</v>
      </c>
      <c r="D172" s="47">
        <v>0</v>
      </c>
      <c r="E172" s="47">
        <v>2</v>
      </c>
      <c r="F172" s="47">
        <v>2</v>
      </c>
      <c r="G172" s="47">
        <v>0</v>
      </c>
      <c r="H172" s="47">
        <v>0</v>
      </c>
    </row>
    <row r="173" ht="20.05" customHeight="1">
      <c r="A173" s="12"/>
      <c r="B173" s="13"/>
      <c r="C173" t="s" s="46">
        <v>202</v>
      </c>
      <c r="D173" s="47">
        <v>0</v>
      </c>
      <c r="E173" s="47">
        <v>11</v>
      </c>
      <c r="F173" s="47">
        <v>3</v>
      </c>
      <c r="G173" s="47">
        <v>0</v>
      </c>
      <c r="H173" s="47">
        <v>0</v>
      </c>
    </row>
    <row r="174" ht="20.05" customHeight="1">
      <c r="A174" s="12"/>
      <c r="B174" s="13"/>
      <c r="C174" t="s" s="46">
        <v>203</v>
      </c>
      <c r="D174" s="47">
        <v>0</v>
      </c>
      <c r="E174" s="47">
        <v>1</v>
      </c>
      <c r="F174" s="47">
        <v>0</v>
      </c>
      <c r="G174" s="47">
        <v>0</v>
      </c>
      <c r="H174" s="47">
        <v>0</v>
      </c>
    </row>
    <row r="175" ht="20.05" customHeight="1">
      <c r="A175" s="12"/>
      <c r="B175" s="13"/>
      <c r="C175" t="s" s="48">
        <v>204</v>
      </c>
      <c r="D175" s="47">
        <v>0</v>
      </c>
      <c r="E175" s="47">
        <v>30</v>
      </c>
      <c r="F175" s="47">
        <v>3</v>
      </c>
      <c r="G175" s="47">
        <v>0</v>
      </c>
      <c r="H175" s="47">
        <v>0</v>
      </c>
    </row>
    <row r="176" ht="20.05" customHeight="1">
      <c r="A176" s="12"/>
      <c r="B176" s="13"/>
      <c r="C176" t="s" s="46">
        <v>205</v>
      </c>
      <c r="D176" s="47">
        <v>0</v>
      </c>
      <c r="E176" s="47">
        <v>3</v>
      </c>
      <c r="F176" s="47">
        <v>6</v>
      </c>
      <c r="G176" s="47">
        <v>0</v>
      </c>
      <c r="H176" s="47">
        <v>0</v>
      </c>
    </row>
    <row r="177" ht="22.95" customHeight="1">
      <c r="A177" s="12"/>
      <c r="B177" t="s" s="45">
        <v>206</v>
      </c>
      <c r="C177" t="s" s="49">
        <v>206</v>
      </c>
      <c r="D177" s="47">
        <v>1</v>
      </c>
      <c r="E177" s="47">
        <v>2</v>
      </c>
      <c r="F177" s="47">
        <v>2</v>
      </c>
      <c r="G177" s="47">
        <v>0</v>
      </c>
      <c r="H177" s="47">
        <v>0</v>
      </c>
    </row>
    <row r="178" ht="20.05" customHeight="1">
      <c r="A178" s="12"/>
      <c r="B178" t="s" s="45">
        <v>207</v>
      </c>
      <c r="C178" t="s" s="46">
        <v>207</v>
      </c>
      <c r="D178" s="47">
        <v>0</v>
      </c>
      <c r="E178" s="47">
        <v>0</v>
      </c>
      <c r="F178" s="47">
        <v>0</v>
      </c>
      <c r="G178" s="47">
        <v>0</v>
      </c>
      <c r="H178" s="47">
        <v>0</v>
      </c>
    </row>
    <row r="179" ht="20.05" customHeight="1">
      <c r="A179" s="12"/>
      <c r="B179" s="13"/>
      <c r="C179" t="s" s="46">
        <v>208</v>
      </c>
      <c r="D179" s="47">
        <v>0</v>
      </c>
      <c r="E179" s="47">
        <v>12</v>
      </c>
      <c r="F179" s="47">
        <v>2</v>
      </c>
      <c r="G179" s="47">
        <v>0</v>
      </c>
      <c r="H179" s="47">
        <v>0</v>
      </c>
    </row>
    <row r="180" ht="20.05" customHeight="1">
      <c r="A180" s="12"/>
      <c r="B180" t="s" s="45">
        <v>209</v>
      </c>
      <c r="C180" t="s" s="46">
        <v>210</v>
      </c>
      <c r="D180" s="47">
        <v>0</v>
      </c>
      <c r="E180" s="47">
        <v>1</v>
      </c>
      <c r="F180" s="47">
        <v>3</v>
      </c>
      <c r="G180" s="47">
        <v>0</v>
      </c>
      <c r="H180" s="47">
        <v>1</v>
      </c>
    </row>
    <row r="181" ht="20.05" customHeight="1">
      <c r="A181" s="12"/>
      <c r="B181" s="13"/>
      <c r="C181" t="s" s="46">
        <v>211</v>
      </c>
      <c r="D181" s="47">
        <v>1</v>
      </c>
      <c r="E181" s="47">
        <v>2</v>
      </c>
      <c r="F181" s="47">
        <v>2</v>
      </c>
      <c r="G181" s="47">
        <v>0</v>
      </c>
      <c r="H181" s="47">
        <v>0</v>
      </c>
    </row>
    <row r="182" ht="22.95" customHeight="1">
      <c r="A182" s="12"/>
      <c r="B182" t="s" s="45">
        <v>212</v>
      </c>
      <c r="C182" t="s" s="49">
        <v>212</v>
      </c>
      <c r="D182" s="47">
        <v>0</v>
      </c>
      <c r="E182" s="47">
        <v>1</v>
      </c>
      <c r="F182" s="47">
        <v>1</v>
      </c>
      <c r="G182" s="47">
        <v>0</v>
      </c>
      <c r="H182" s="47">
        <v>0</v>
      </c>
    </row>
    <row r="183" ht="20.05" customHeight="1">
      <c r="A183" s="12"/>
      <c r="B183" t="s" s="45">
        <v>213</v>
      </c>
      <c r="C183" t="s" s="46">
        <v>214</v>
      </c>
      <c r="D183" s="47">
        <v>0</v>
      </c>
      <c r="E183" s="47">
        <v>0</v>
      </c>
      <c r="F183" s="47">
        <v>2</v>
      </c>
      <c r="G183" s="47">
        <v>0</v>
      </c>
      <c r="H183" s="47">
        <v>0</v>
      </c>
    </row>
    <row r="184" ht="20.05" customHeight="1">
      <c r="A184" s="12"/>
      <c r="B184" s="13"/>
      <c r="C184" t="s" s="46">
        <v>215</v>
      </c>
      <c r="D184" s="47">
        <v>0</v>
      </c>
      <c r="E184" s="47">
        <v>1</v>
      </c>
      <c r="F184" s="47">
        <v>0</v>
      </c>
      <c r="G184" s="47">
        <v>0</v>
      </c>
      <c r="H184" s="47">
        <v>0</v>
      </c>
    </row>
    <row r="185" ht="20.05" customHeight="1">
      <c r="A185" s="12"/>
      <c r="B185" t="s" s="45">
        <v>216</v>
      </c>
      <c r="C185" t="s" s="49">
        <v>217</v>
      </c>
      <c r="D185" s="47">
        <v>0</v>
      </c>
      <c r="E185" s="47">
        <v>6</v>
      </c>
      <c r="F185" s="47">
        <v>1</v>
      </c>
      <c r="G185" s="47">
        <v>0</v>
      </c>
      <c r="H185" s="47">
        <v>0</v>
      </c>
    </row>
    <row r="186" ht="20.05" customHeight="1">
      <c r="A186" s="12"/>
      <c r="B186" s="13"/>
      <c r="C186" t="s" s="49">
        <v>218</v>
      </c>
      <c r="D186" s="47">
        <v>0</v>
      </c>
      <c r="E186" s="47">
        <v>5</v>
      </c>
      <c r="F186" s="47">
        <v>3</v>
      </c>
      <c r="G186" s="47">
        <v>0</v>
      </c>
      <c r="H186" s="47">
        <v>0</v>
      </c>
    </row>
    <row r="187" ht="20.05" customHeight="1">
      <c r="A187" s="12"/>
      <c r="B187" s="13"/>
      <c r="C187" t="s" s="49">
        <v>219</v>
      </c>
      <c r="D187" s="47">
        <v>0</v>
      </c>
      <c r="E187" s="47">
        <v>8</v>
      </c>
      <c r="F187" s="47">
        <v>3</v>
      </c>
      <c r="G187" s="47">
        <v>0</v>
      </c>
      <c r="H187" s="47">
        <v>0</v>
      </c>
    </row>
    <row r="188" ht="20.05" customHeight="1">
      <c r="A188" s="12"/>
      <c r="B188" s="13"/>
      <c r="C188" t="s" s="49">
        <v>220</v>
      </c>
      <c r="D188" s="47">
        <v>0</v>
      </c>
      <c r="E188" s="47">
        <v>2</v>
      </c>
      <c r="F188" s="47">
        <v>2</v>
      </c>
      <c r="G188" s="47">
        <v>0</v>
      </c>
      <c r="H188" s="47">
        <v>0</v>
      </c>
    </row>
    <row r="189" ht="20.05" customHeight="1">
      <c r="A189" s="12"/>
      <c r="B189" s="13"/>
      <c r="C189" t="s" s="49">
        <v>221</v>
      </c>
      <c r="D189" s="47">
        <v>0</v>
      </c>
      <c r="E189" s="47">
        <v>9</v>
      </c>
      <c r="F189" s="47">
        <v>6</v>
      </c>
      <c r="G189" s="47">
        <v>0</v>
      </c>
      <c r="H189" s="47">
        <v>0</v>
      </c>
    </row>
    <row r="190" ht="32.05" customHeight="1">
      <c r="A190" s="12"/>
      <c r="B190" s="13"/>
      <c r="C190" t="s" s="49">
        <v>222</v>
      </c>
      <c r="D190" s="47">
        <v>0</v>
      </c>
      <c r="E190" s="47">
        <v>3</v>
      </c>
      <c r="F190" s="47">
        <v>1</v>
      </c>
      <c r="G190" s="47">
        <v>0</v>
      </c>
      <c r="H190" s="47">
        <v>0</v>
      </c>
    </row>
    <row r="191" ht="20.05" customHeight="1">
      <c r="A191" s="12"/>
      <c r="B191" s="13"/>
      <c r="C191" t="s" s="49">
        <v>223</v>
      </c>
      <c r="D191" s="47">
        <v>0</v>
      </c>
      <c r="E191" s="47">
        <v>2</v>
      </c>
      <c r="F191" s="47">
        <v>1</v>
      </c>
      <c r="G191" s="47">
        <v>0</v>
      </c>
      <c r="H191" s="47">
        <v>0</v>
      </c>
    </row>
    <row r="192" ht="22.95" customHeight="1">
      <c r="A192" s="12"/>
      <c r="B192" t="s" s="45">
        <v>224</v>
      </c>
      <c r="C192" t="s" s="46">
        <v>225</v>
      </c>
      <c r="D192" s="47">
        <v>0</v>
      </c>
      <c r="E192" s="47">
        <v>10</v>
      </c>
      <c r="F192" s="47">
        <v>4</v>
      </c>
      <c r="G192" s="47">
        <v>0</v>
      </c>
      <c r="H192" s="47">
        <v>1</v>
      </c>
    </row>
    <row r="193" ht="22.95" customHeight="1">
      <c r="A193" s="12"/>
      <c r="B193" t="s" s="45">
        <v>226</v>
      </c>
      <c r="C193" t="s" s="49">
        <v>226</v>
      </c>
      <c r="D193" s="47">
        <v>0</v>
      </c>
      <c r="E193" s="47">
        <v>2</v>
      </c>
      <c r="F193" s="47">
        <v>1</v>
      </c>
      <c r="G193" s="47">
        <v>0</v>
      </c>
      <c r="H193" s="47">
        <v>0</v>
      </c>
    </row>
    <row r="194" ht="22.95" customHeight="1">
      <c r="A194" s="12"/>
      <c r="B194" t="s" s="45">
        <v>227</v>
      </c>
      <c r="C194" t="s" s="49">
        <v>227</v>
      </c>
      <c r="D194" s="47">
        <v>0</v>
      </c>
      <c r="E194" s="47">
        <v>3</v>
      </c>
      <c r="F194" s="47">
        <v>0</v>
      </c>
      <c r="G194" s="47">
        <v>0</v>
      </c>
      <c r="H194" s="47">
        <v>0</v>
      </c>
    </row>
    <row r="195" ht="20.05" customHeight="1">
      <c r="A195" s="12"/>
      <c r="B195" t="s" s="45">
        <v>262</v>
      </c>
      <c r="C195" t="s" s="46">
        <v>263</v>
      </c>
      <c r="D195" s="47">
        <v>0</v>
      </c>
      <c r="E195" s="47">
        <v>5</v>
      </c>
      <c r="F195" s="47">
        <v>0</v>
      </c>
      <c r="G195" s="47">
        <v>0</v>
      </c>
      <c r="H195" s="47">
        <v>0</v>
      </c>
    </row>
    <row r="196" ht="20.05" customHeight="1">
      <c r="A196" s="12"/>
      <c r="B196" s="13"/>
      <c r="C196" t="s" s="46">
        <v>264</v>
      </c>
      <c r="D196" s="47">
        <v>0</v>
      </c>
      <c r="E196" s="47">
        <v>14</v>
      </c>
      <c r="F196" s="47">
        <v>1</v>
      </c>
      <c r="G196" s="47">
        <v>0</v>
      </c>
      <c r="H196" s="47">
        <v>0</v>
      </c>
    </row>
    <row r="197" ht="20.05" customHeight="1">
      <c r="A197" s="12"/>
      <c r="B197" s="13"/>
      <c r="C197" t="s" s="46">
        <v>265</v>
      </c>
      <c r="D197" s="47">
        <v>0</v>
      </c>
      <c r="E197" s="47">
        <v>6</v>
      </c>
      <c r="F197" s="47">
        <v>0</v>
      </c>
      <c r="G197" s="47">
        <v>0</v>
      </c>
      <c r="H197" s="47">
        <v>0</v>
      </c>
    </row>
    <row r="198" ht="20.05" customHeight="1">
      <c r="A198" s="12"/>
      <c r="B198" t="s" s="104">
        <v>550</v>
      </c>
      <c r="C198" t="s" s="46">
        <v>431</v>
      </c>
      <c r="D198" s="47">
        <v>0</v>
      </c>
      <c r="E198" s="47">
        <v>5</v>
      </c>
      <c r="F198" s="47">
        <v>1</v>
      </c>
      <c r="G198" s="47">
        <v>0</v>
      </c>
      <c r="H198" s="47">
        <v>0</v>
      </c>
    </row>
    <row r="199" ht="20.05" customHeight="1">
      <c r="A199" s="12"/>
      <c r="B199" s="13"/>
      <c r="C199" t="s" s="46">
        <v>432</v>
      </c>
      <c r="D199" s="47">
        <v>0</v>
      </c>
      <c r="E199" s="47">
        <v>6</v>
      </c>
      <c r="F199" s="47">
        <v>1</v>
      </c>
      <c r="G199" s="47">
        <v>0</v>
      </c>
      <c r="H199" s="47">
        <v>0</v>
      </c>
    </row>
    <row r="200" ht="20.05" customHeight="1">
      <c r="A200" s="12"/>
      <c r="B200" s="13"/>
      <c r="C200" t="s" s="46">
        <v>433</v>
      </c>
      <c r="D200" s="47">
        <v>0</v>
      </c>
      <c r="E200" s="47">
        <v>11</v>
      </c>
      <c r="F200" s="47">
        <v>2</v>
      </c>
      <c r="G200" s="47">
        <v>0</v>
      </c>
      <c r="H200" s="47">
        <v>0</v>
      </c>
    </row>
    <row r="201" ht="20.05" customHeight="1">
      <c r="A201" t="s" s="50">
        <v>551</v>
      </c>
      <c r="B201" t="s" s="51">
        <v>229</v>
      </c>
      <c r="C201" t="s" s="52">
        <v>230</v>
      </c>
      <c r="D201" s="53">
        <v>1</v>
      </c>
      <c r="E201" s="53">
        <v>18</v>
      </c>
      <c r="F201" s="53">
        <v>1</v>
      </c>
      <c r="G201" s="53">
        <v>0</v>
      </c>
      <c r="H201" s="53">
        <v>0</v>
      </c>
    </row>
    <row r="202" ht="20.05" customHeight="1">
      <c r="A202" s="12"/>
      <c r="B202" s="13"/>
      <c r="C202" t="s" s="52">
        <v>552</v>
      </c>
      <c r="D202" s="53">
        <v>0</v>
      </c>
      <c r="E202" s="53">
        <v>4</v>
      </c>
      <c r="F202" s="53">
        <v>0</v>
      </c>
      <c r="G202" s="53">
        <v>0</v>
      </c>
      <c r="H202" s="53">
        <v>0</v>
      </c>
    </row>
    <row r="203" ht="20.05" customHeight="1">
      <c r="A203" s="12"/>
      <c r="B203" s="13"/>
      <c r="C203" t="s" s="52">
        <v>232</v>
      </c>
      <c r="D203" s="53">
        <v>0</v>
      </c>
      <c r="E203" s="53">
        <v>3</v>
      </c>
      <c r="F203" s="53">
        <v>0</v>
      </c>
      <c r="G203" s="53">
        <v>0</v>
      </c>
      <c r="H203" s="53">
        <v>0</v>
      </c>
    </row>
    <row r="204" ht="20.05" customHeight="1">
      <c r="A204" s="12"/>
      <c r="B204" s="13"/>
      <c r="C204" t="s" s="52">
        <v>231</v>
      </c>
      <c r="D204" s="53">
        <v>1</v>
      </c>
      <c r="E204" s="53">
        <v>20</v>
      </c>
      <c r="F204" s="53">
        <v>2</v>
      </c>
      <c r="G204" s="53">
        <v>0</v>
      </c>
      <c r="H204" s="53">
        <v>0</v>
      </c>
    </row>
    <row r="205" ht="20.05" customHeight="1">
      <c r="A205" s="12"/>
      <c r="B205" t="s" s="51">
        <v>553</v>
      </c>
      <c r="C205" t="s" s="52">
        <v>247</v>
      </c>
      <c r="D205" s="53">
        <v>0</v>
      </c>
      <c r="E205" s="53">
        <v>2</v>
      </c>
      <c r="F205" s="53">
        <v>0</v>
      </c>
      <c r="G205" s="53">
        <v>0</v>
      </c>
      <c r="H205" s="53">
        <v>0</v>
      </c>
    </row>
    <row r="206" ht="20.05" customHeight="1">
      <c r="A206" s="12"/>
      <c r="B206" s="13"/>
      <c r="C206" t="s" s="52">
        <v>250</v>
      </c>
      <c r="D206" s="53">
        <v>0</v>
      </c>
      <c r="E206" s="53">
        <v>4</v>
      </c>
      <c r="F206" s="53">
        <v>0</v>
      </c>
      <c r="G206" s="53">
        <v>0</v>
      </c>
      <c r="H206" s="53">
        <v>0</v>
      </c>
    </row>
    <row r="207" ht="32.05" customHeight="1">
      <c r="A207" s="12"/>
      <c r="B207" s="13"/>
      <c r="C207" t="s" s="52">
        <v>251</v>
      </c>
      <c r="D207" s="53">
        <v>0</v>
      </c>
      <c r="E207" s="53">
        <v>1</v>
      </c>
      <c r="F207" s="53">
        <v>0</v>
      </c>
      <c r="G207" s="53">
        <v>0</v>
      </c>
      <c r="H207" s="53">
        <v>0</v>
      </c>
    </row>
    <row r="208" ht="20.05" customHeight="1">
      <c r="A208" s="12"/>
      <c r="B208" s="13"/>
      <c r="C208" t="s" s="52">
        <v>252</v>
      </c>
      <c r="D208" s="53">
        <v>0</v>
      </c>
      <c r="E208" s="53">
        <v>4</v>
      </c>
      <c r="F208" s="53">
        <v>0</v>
      </c>
      <c r="G208" s="53">
        <v>0</v>
      </c>
      <c r="H208" s="53">
        <v>0</v>
      </c>
    </row>
    <row r="209" ht="20.05" customHeight="1">
      <c r="A209" s="12"/>
      <c r="B209" s="13"/>
      <c r="C209" t="s" s="52">
        <v>253</v>
      </c>
      <c r="D209" s="53">
        <v>1</v>
      </c>
      <c r="E209" s="53">
        <v>10</v>
      </c>
      <c r="F209" s="53">
        <v>1</v>
      </c>
      <c r="G209" s="53">
        <v>0</v>
      </c>
      <c r="H209" s="53">
        <v>0</v>
      </c>
    </row>
    <row r="210" ht="20.05" customHeight="1">
      <c r="A210" s="12"/>
      <c r="B210" s="13"/>
      <c r="C210" t="s" s="52">
        <v>254</v>
      </c>
      <c r="D210" s="53">
        <v>0</v>
      </c>
      <c r="E210" s="53">
        <v>19</v>
      </c>
      <c r="F210" s="53">
        <v>0</v>
      </c>
      <c r="G210" s="53">
        <v>0</v>
      </c>
      <c r="H210" s="53">
        <v>0</v>
      </c>
    </row>
    <row r="211" ht="20.05" customHeight="1">
      <c r="A211" t="s" s="26">
        <v>266</v>
      </c>
      <c r="B211" t="s" s="55">
        <v>267</v>
      </c>
      <c r="C211" t="s" s="28">
        <v>268</v>
      </c>
      <c r="D211" s="29">
        <v>0</v>
      </c>
      <c r="E211" s="29">
        <v>6</v>
      </c>
      <c r="F211" s="29">
        <v>4</v>
      </c>
      <c r="G211" s="29">
        <v>0</v>
      </c>
      <c r="H211" s="29">
        <v>1</v>
      </c>
    </row>
    <row r="212" ht="20.05" customHeight="1">
      <c r="A212" s="12"/>
      <c r="B212" s="13"/>
      <c r="C212" t="s" s="28">
        <v>269</v>
      </c>
      <c r="D212" s="29">
        <v>0</v>
      </c>
      <c r="E212" s="29">
        <v>20</v>
      </c>
      <c r="F212" s="29">
        <v>5</v>
      </c>
      <c r="G212" s="29">
        <v>0</v>
      </c>
      <c r="H212" s="29">
        <v>0</v>
      </c>
    </row>
    <row r="213" ht="20.05" customHeight="1">
      <c r="A213" s="12"/>
      <c r="B213" s="13"/>
      <c r="C213" t="s" s="28">
        <v>270</v>
      </c>
      <c r="D213" s="29">
        <v>0</v>
      </c>
      <c r="E213" s="29">
        <v>7</v>
      </c>
      <c r="F213" s="29">
        <v>2</v>
      </c>
      <c r="G213" s="29">
        <v>0</v>
      </c>
      <c r="H213" s="29">
        <v>0</v>
      </c>
    </row>
    <row r="214" ht="20.05" customHeight="1">
      <c r="A214" s="12"/>
      <c r="B214" t="s" s="55">
        <v>554</v>
      </c>
      <c r="C214" t="s" s="28">
        <v>554</v>
      </c>
      <c r="D214" s="29">
        <v>0</v>
      </c>
      <c r="E214" s="29">
        <v>4</v>
      </c>
      <c r="F214" s="29">
        <v>0</v>
      </c>
      <c r="G214" s="29">
        <v>0</v>
      </c>
      <c r="H214" s="29">
        <v>0</v>
      </c>
    </row>
    <row r="215" ht="20.05" customHeight="1">
      <c r="A215" s="12"/>
      <c r="B215" s="13"/>
      <c r="C215" t="s" s="28">
        <v>297</v>
      </c>
      <c r="D215" s="29">
        <v>1</v>
      </c>
      <c r="E215" s="29">
        <v>2</v>
      </c>
      <c r="F215" s="29">
        <v>3</v>
      </c>
      <c r="G215" s="29">
        <v>0</v>
      </c>
      <c r="H215" s="29">
        <v>0</v>
      </c>
    </row>
    <row r="216" ht="20.05" customHeight="1">
      <c r="A216" s="12"/>
      <c r="B216" s="13"/>
      <c r="C216" t="s" s="28">
        <v>281</v>
      </c>
      <c r="D216" s="29">
        <v>1</v>
      </c>
      <c r="E216" s="29">
        <v>5</v>
      </c>
      <c r="F216" s="29">
        <v>4</v>
      </c>
      <c r="G216" s="29">
        <v>0</v>
      </c>
      <c r="H216" s="29">
        <v>1</v>
      </c>
    </row>
    <row r="217" ht="20.05" customHeight="1">
      <c r="A217" s="12"/>
      <c r="B217" s="13"/>
      <c r="C217" t="s" s="28">
        <v>555</v>
      </c>
      <c r="D217" s="29">
        <v>0</v>
      </c>
      <c r="E217" s="29">
        <v>1</v>
      </c>
      <c r="F217" s="29">
        <v>3</v>
      </c>
      <c r="G217" s="29">
        <v>0</v>
      </c>
      <c r="H217" s="29">
        <v>0</v>
      </c>
    </row>
    <row r="218" ht="20.05" customHeight="1">
      <c r="A218" s="12"/>
      <c r="B218" t="s" s="55">
        <v>271</v>
      </c>
      <c r="C218" t="s" s="28">
        <v>272</v>
      </c>
      <c r="D218" s="29">
        <v>0</v>
      </c>
      <c r="E218" s="29">
        <v>6</v>
      </c>
      <c r="F218" s="29">
        <v>4</v>
      </c>
      <c r="G218" s="29">
        <v>1</v>
      </c>
      <c r="H218" s="29">
        <v>0</v>
      </c>
    </row>
    <row r="219" ht="20.05" customHeight="1">
      <c r="A219" s="12"/>
      <c r="B219" s="13"/>
      <c r="C219" t="s" s="28">
        <v>273</v>
      </c>
      <c r="D219" s="29">
        <v>1</v>
      </c>
      <c r="E219" s="29">
        <v>8</v>
      </c>
      <c r="F219" s="29">
        <v>3</v>
      </c>
      <c r="G219" s="29">
        <v>0</v>
      </c>
      <c r="H219" s="29">
        <v>1</v>
      </c>
    </row>
    <row r="220" ht="20.05" customHeight="1">
      <c r="A220" s="12"/>
      <c r="B220" s="13"/>
      <c r="C220" t="s" s="28">
        <v>274</v>
      </c>
      <c r="D220" s="29">
        <v>0</v>
      </c>
      <c r="E220" s="29">
        <v>11</v>
      </c>
      <c r="F220" s="29">
        <v>5</v>
      </c>
      <c r="G220" s="29">
        <v>1</v>
      </c>
      <c r="H220" s="29">
        <v>0</v>
      </c>
    </row>
    <row r="221" ht="20.05" customHeight="1">
      <c r="A221" s="12"/>
      <c r="B221" s="13"/>
      <c r="C221" t="s" s="28">
        <v>275</v>
      </c>
      <c r="D221" s="29">
        <v>0</v>
      </c>
      <c r="E221" s="29">
        <v>12</v>
      </c>
      <c r="F221" s="29">
        <v>3</v>
      </c>
      <c r="G221" s="29">
        <v>0</v>
      </c>
      <c r="H221" s="29">
        <v>0</v>
      </c>
    </row>
    <row r="222" ht="20.05" customHeight="1">
      <c r="A222" s="12"/>
      <c r="B222" t="s" s="55">
        <v>556</v>
      </c>
      <c r="C222" t="s" s="28">
        <v>277</v>
      </c>
      <c r="D222" s="29">
        <v>0</v>
      </c>
      <c r="E222" s="29">
        <v>1</v>
      </c>
      <c r="F222" s="29">
        <v>6</v>
      </c>
      <c r="G222" s="29">
        <v>0</v>
      </c>
      <c r="H222" s="29">
        <v>0</v>
      </c>
    </row>
    <row r="223" ht="20.05" customHeight="1">
      <c r="A223" s="12"/>
      <c r="B223" s="13"/>
      <c r="C223" t="s" s="28">
        <v>278</v>
      </c>
      <c r="D223" s="29">
        <v>0</v>
      </c>
      <c r="E223" s="29">
        <v>4</v>
      </c>
      <c r="F223" s="29">
        <v>1</v>
      </c>
      <c r="G223" s="29">
        <v>0</v>
      </c>
      <c r="H223" s="29">
        <v>0</v>
      </c>
    </row>
    <row r="224" ht="20.05" customHeight="1">
      <c r="A224" s="12"/>
      <c r="B224" s="13"/>
      <c r="C224" t="s" s="28">
        <v>292</v>
      </c>
      <c r="D224" s="29">
        <v>0</v>
      </c>
      <c r="E224" s="29">
        <v>3</v>
      </c>
      <c r="F224" s="29">
        <v>3</v>
      </c>
      <c r="G224" s="29">
        <v>0</v>
      </c>
      <c r="H224" s="29">
        <v>0</v>
      </c>
    </row>
    <row r="225" ht="20.05" customHeight="1">
      <c r="A225" s="12"/>
      <c r="B225" t="s" s="55">
        <v>557</v>
      </c>
      <c r="C225" t="s" s="28">
        <v>282</v>
      </c>
      <c r="D225" s="29">
        <v>0</v>
      </c>
      <c r="E225" s="29">
        <v>6</v>
      </c>
      <c r="F225" s="29">
        <v>5</v>
      </c>
      <c r="G225" s="29">
        <v>0</v>
      </c>
      <c r="H225" s="29">
        <v>0</v>
      </c>
    </row>
    <row r="226" ht="20.05" customHeight="1">
      <c r="A226" s="12"/>
      <c r="B226" s="13"/>
      <c r="C226" t="s" s="28">
        <v>283</v>
      </c>
      <c r="D226" s="29">
        <v>0</v>
      </c>
      <c r="E226" s="29">
        <v>5</v>
      </c>
      <c r="F226" s="29">
        <v>3</v>
      </c>
      <c r="G226" s="29">
        <v>0</v>
      </c>
      <c r="H226" s="29">
        <v>0</v>
      </c>
    </row>
    <row r="227" ht="20.05" customHeight="1">
      <c r="A227" s="12"/>
      <c r="B227" s="13"/>
      <c r="C227" t="s" s="28">
        <v>285</v>
      </c>
      <c r="D227" s="29">
        <v>0</v>
      </c>
      <c r="E227" s="29">
        <v>0</v>
      </c>
      <c r="F227" s="29">
        <v>2</v>
      </c>
      <c r="G227" s="29">
        <v>1</v>
      </c>
      <c r="H227" s="29">
        <v>0</v>
      </c>
    </row>
    <row r="228" ht="22.95" customHeight="1">
      <c r="A228" s="12"/>
      <c r="B228" t="s" s="55">
        <v>558</v>
      </c>
      <c r="C228" t="s" s="28">
        <v>559</v>
      </c>
      <c r="D228" s="29">
        <v>0</v>
      </c>
      <c r="E228" s="29">
        <v>1</v>
      </c>
      <c r="F228" s="29">
        <v>3</v>
      </c>
      <c r="G228" s="29">
        <v>0</v>
      </c>
      <c r="H228" s="29">
        <v>0</v>
      </c>
    </row>
    <row r="229" ht="22.95" customHeight="1">
      <c r="A229" s="12"/>
      <c r="B229" t="s" s="55">
        <v>560</v>
      </c>
      <c r="C229" t="s" s="28">
        <v>290</v>
      </c>
      <c r="D229" s="29">
        <v>0</v>
      </c>
      <c r="E229" s="29">
        <v>0</v>
      </c>
      <c r="F229" s="29">
        <v>2</v>
      </c>
      <c r="G229" s="29">
        <v>0</v>
      </c>
      <c r="H229" s="29">
        <v>0</v>
      </c>
    </row>
    <row r="230" ht="20.05" customHeight="1">
      <c r="A230" s="12"/>
      <c r="B230" t="s" s="55">
        <v>308</v>
      </c>
      <c r="C230" t="s" s="28">
        <v>309</v>
      </c>
      <c r="D230" s="29">
        <v>0</v>
      </c>
      <c r="E230" s="29">
        <v>4</v>
      </c>
      <c r="F230" s="29">
        <v>1</v>
      </c>
      <c r="G230" s="29">
        <v>0</v>
      </c>
      <c r="H230" s="29">
        <v>0</v>
      </c>
    </row>
    <row r="231" ht="20.05" customHeight="1">
      <c r="A231" s="12"/>
      <c r="B231" s="13"/>
      <c r="C231" t="s" s="28">
        <v>310</v>
      </c>
      <c r="D231" s="29">
        <v>0</v>
      </c>
      <c r="E231" s="29">
        <v>1</v>
      </c>
      <c r="F231" s="29">
        <v>1</v>
      </c>
      <c r="G231" s="29">
        <v>0</v>
      </c>
      <c r="H231" s="29">
        <v>0</v>
      </c>
    </row>
    <row r="232" ht="20.05" customHeight="1">
      <c r="A232" s="12"/>
      <c r="B232" s="13"/>
      <c r="C232" t="s" s="28">
        <v>289</v>
      </c>
      <c r="D232" s="29">
        <v>0</v>
      </c>
      <c r="E232" s="29">
        <v>6</v>
      </c>
      <c r="F232" s="29">
        <v>4</v>
      </c>
      <c r="G232" s="29">
        <v>0</v>
      </c>
      <c r="H232" s="29">
        <v>0</v>
      </c>
    </row>
    <row r="233" ht="20.05" customHeight="1">
      <c r="A233" s="12"/>
      <c r="B233" s="13"/>
      <c r="C233" t="s" s="28">
        <v>561</v>
      </c>
      <c r="D233" s="29">
        <v>0</v>
      </c>
      <c r="E233" s="29">
        <v>1</v>
      </c>
      <c r="F233" s="29">
        <v>0</v>
      </c>
      <c r="G233" s="29">
        <v>0</v>
      </c>
      <c r="H233" s="29">
        <v>0</v>
      </c>
    </row>
    <row r="234" ht="20.05" customHeight="1">
      <c r="A234" s="12"/>
      <c r="B234" t="s" s="55">
        <v>562</v>
      </c>
      <c r="C234" t="s" s="28">
        <v>301</v>
      </c>
      <c r="D234" s="29">
        <v>1</v>
      </c>
      <c r="E234" s="29">
        <v>13</v>
      </c>
      <c r="F234" s="29">
        <v>4</v>
      </c>
      <c r="G234" s="29">
        <v>0</v>
      </c>
      <c r="H234" s="29">
        <v>0</v>
      </c>
    </row>
    <row r="235" ht="20.05" customHeight="1">
      <c r="A235" s="12"/>
      <c r="B235" s="13"/>
      <c r="C235" t="s" s="28">
        <v>302</v>
      </c>
      <c r="D235" s="29">
        <v>0</v>
      </c>
      <c r="E235" s="29">
        <v>0</v>
      </c>
      <c r="F235" s="29">
        <v>5</v>
      </c>
      <c r="G235" s="29">
        <v>0</v>
      </c>
      <c r="H235" s="29">
        <v>0</v>
      </c>
    </row>
    <row r="236" ht="20.05" customHeight="1">
      <c r="A236" s="12"/>
      <c r="B236" s="13"/>
      <c r="C236" t="s" s="28">
        <v>303</v>
      </c>
      <c r="D236" s="29">
        <v>0</v>
      </c>
      <c r="E236" s="29">
        <v>1</v>
      </c>
      <c r="F236" s="29">
        <v>0</v>
      </c>
      <c r="G236" s="29">
        <v>0</v>
      </c>
      <c r="H236" s="29">
        <v>0</v>
      </c>
    </row>
    <row r="237" ht="20.05" customHeight="1">
      <c r="A237" s="12"/>
      <c r="B237" s="13"/>
      <c r="C237" t="s" s="28">
        <v>304</v>
      </c>
      <c r="D237" s="29">
        <v>0</v>
      </c>
      <c r="E237" s="29">
        <v>19</v>
      </c>
      <c r="F237" s="29">
        <v>1</v>
      </c>
      <c r="G237" s="29">
        <v>0</v>
      </c>
      <c r="H237" s="29">
        <v>0</v>
      </c>
    </row>
    <row r="238" ht="20.05" customHeight="1">
      <c r="A238" s="12"/>
      <c r="B238" s="13"/>
      <c r="C238" t="s" s="28">
        <v>305</v>
      </c>
      <c r="D238" s="29">
        <v>0</v>
      </c>
      <c r="E238" s="29">
        <v>1</v>
      </c>
      <c r="F238" s="29">
        <v>0</v>
      </c>
      <c r="G238" s="29">
        <v>0</v>
      </c>
      <c r="H238" s="29">
        <v>0</v>
      </c>
    </row>
    <row r="239" ht="20.05" customHeight="1">
      <c r="A239" s="12"/>
      <c r="B239" s="13"/>
      <c r="C239" t="s" s="28">
        <v>306</v>
      </c>
      <c r="D239" s="29">
        <v>0</v>
      </c>
      <c r="E239" s="29">
        <v>10</v>
      </c>
      <c r="F239" s="29">
        <v>1</v>
      </c>
      <c r="G239" s="29">
        <v>0</v>
      </c>
      <c r="H239" s="29">
        <v>0</v>
      </c>
    </row>
    <row r="240" ht="20.05" customHeight="1">
      <c r="A240" s="12"/>
      <c r="B240" s="13"/>
      <c r="C240" t="s" s="28">
        <v>563</v>
      </c>
      <c r="D240" s="29">
        <v>0</v>
      </c>
      <c r="E240" s="29">
        <v>5</v>
      </c>
      <c r="F240" s="29">
        <v>0</v>
      </c>
      <c r="G240" s="29">
        <v>0</v>
      </c>
      <c r="H240" s="29">
        <v>0</v>
      </c>
    </row>
    <row r="241" ht="22.95" customHeight="1">
      <c r="A241" s="12"/>
      <c r="B241" t="s" s="55">
        <v>564</v>
      </c>
      <c r="C241" t="s" s="28">
        <v>320</v>
      </c>
      <c r="D241" s="29">
        <v>0</v>
      </c>
      <c r="E241" s="29">
        <v>6</v>
      </c>
      <c r="F241" s="29">
        <v>4</v>
      </c>
      <c r="G241" s="29">
        <v>0</v>
      </c>
      <c r="H241" s="29">
        <v>0</v>
      </c>
    </row>
    <row r="242" ht="22.95" customHeight="1">
      <c r="A242" s="12"/>
      <c r="B242" t="s" s="55">
        <v>565</v>
      </c>
      <c r="C242" t="s" s="28">
        <v>322</v>
      </c>
      <c r="D242" s="25">
        <v>1</v>
      </c>
      <c r="E242" s="25">
        <v>1</v>
      </c>
      <c r="F242" s="25">
        <v>3</v>
      </c>
      <c r="G242" s="25">
        <v>0</v>
      </c>
      <c r="H242" s="25">
        <v>0</v>
      </c>
    </row>
    <row r="243" ht="20.05" customHeight="1">
      <c r="A243" t="s" s="105">
        <v>566</v>
      </c>
      <c r="B243" t="s" s="106">
        <v>105</v>
      </c>
      <c r="C243" t="s" s="107">
        <v>106</v>
      </c>
      <c r="D243" s="23">
        <v>1</v>
      </c>
      <c r="E243" s="23">
        <v>2</v>
      </c>
      <c r="F243" s="23">
        <v>5</v>
      </c>
      <c r="G243" s="23">
        <v>0</v>
      </c>
      <c r="H243" s="23">
        <v>1</v>
      </c>
    </row>
    <row r="244" ht="20.05" customHeight="1">
      <c r="A244" s="12"/>
      <c r="B244" s="13"/>
      <c r="C244" t="s" s="107">
        <v>107</v>
      </c>
      <c r="D244" s="23">
        <v>0</v>
      </c>
      <c r="E244" s="23">
        <v>3</v>
      </c>
      <c r="F244" s="23">
        <v>2</v>
      </c>
      <c r="G244" s="23">
        <v>1</v>
      </c>
      <c r="H244" s="23">
        <v>1</v>
      </c>
    </row>
    <row r="245" ht="20.05" customHeight="1">
      <c r="A245" s="12"/>
      <c r="B245" s="13"/>
      <c r="C245" t="s" s="107">
        <v>108</v>
      </c>
      <c r="D245" s="23">
        <v>1</v>
      </c>
      <c r="E245" s="23">
        <v>2</v>
      </c>
      <c r="F245" s="23">
        <v>4</v>
      </c>
      <c r="G245" s="23">
        <v>0</v>
      </c>
      <c r="H245" s="23">
        <v>1</v>
      </c>
    </row>
    <row r="246" ht="20.05" customHeight="1">
      <c r="A246" s="12"/>
      <c r="B246" s="13"/>
      <c r="C246" t="s" s="107">
        <v>109</v>
      </c>
      <c r="D246" s="23">
        <v>0</v>
      </c>
      <c r="E246" s="23">
        <v>2</v>
      </c>
      <c r="F246" s="23">
        <v>2</v>
      </c>
      <c r="G246" s="23">
        <v>0</v>
      </c>
      <c r="H246" s="23">
        <v>1</v>
      </c>
    </row>
    <row r="247" ht="20.05" customHeight="1">
      <c r="A247" s="12"/>
      <c r="B247" s="13"/>
      <c r="C247" t="s" s="107">
        <v>110</v>
      </c>
      <c r="D247" s="23">
        <v>0</v>
      </c>
      <c r="E247" s="23">
        <v>6</v>
      </c>
      <c r="F247" s="23">
        <v>7</v>
      </c>
      <c r="G247" s="23">
        <v>0</v>
      </c>
      <c r="H247" s="23">
        <v>0</v>
      </c>
    </row>
    <row r="248" ht="20.05" customHeight="1">
      <c r="A248" s="12"/>
      <c r="B248" s="13"/>
      <c r="C248" t="s" s="107">
        <v>567</v>
      </c>
      <c r="D248" s="23">
        <v>0</v>
      </c>
      <c r="E248" s="23">
        <v>1</v>
      </c>
      <c r="F248" s="23">
        <v>1</v>
      </c>
      <c r="G248" s="23">
        <v>0</v>
      </c>
      <c r="H248" s="23">
        <v>0</v>
      </c>
    </row>
    <row r="249" ht="20.05" customHeight="1">
      <c r="A249" s="12"/>
      <c r="B249" s="13"/>
      <c r="C249" t="s" s="107">
        <v>111</v>
      </c>
      <c r="D249" s="23">
        <v>1</v>
      </c>
      <c r="E249" s="23">
        <v>4</v>
      </c>
      <c r="F249" s="23">
        <v>14</v>
      </c>
      <c r="G249" s="23">
        <v>0</v>
      </c>
      <c r="H249" s="23">
        <v>0</v>
      </c>
    </row>
    <row r="250" ht="20.05" customHeight="1">
      <c r="A250" s="12"/>
      <c r="B250" s="13"/>
      <c r="C250" t="s" s="107">
        <v>112</v>
      </c>
      <c r="D250" s="23">
        <v>0</v>
      </c>
      <c r="E250" s="23">
        <v>2</v>
      </c>
      <c r="F250" s="23">
        <v>2</v>
      </c>
      <c r="G250" s="23">
        <v>0</v>
      </c>
      <c r="H250" s="23">
        <v>0</v>
      </c>
    </row>
    <row r="251" ht="20.05" customHeight="1">
      <c r="A251" s="12"/>
      <c r="B251" s="13"/>
      <c r="C251" t="s" s="107">
        <v>113</v>
      </c>
      <c r="D251" s="23">
        <v>2</v>
      </c>
      <c r="E251" s="23">
        <v>11</v>
      </c>
      <c r="F251" s="23">
        <v>1</v>
      </c>
      <c r="G251" s="23">
        <v>0</v>
      </c>
      <c r="H251" s="23">
        <v>0</v>
      </c>
    </row>
    <row r="252" ht="20.05" customHeight="1">
      <c r="A252" s="12"/>
      <c r="B252" t="s" s="106">
        <v>114</v>
      </c>
      <c r="C252" t="s" s="107">
        <v>115</v>
      </c>
      <c r="D252" s="23">
        <v>0</v>
      </c>
      <c r="E252" s="23">
        <v>3</v>
      </c>
      <c r="F252" s="23">
        <v>1</v>
      </c>
      <c r="G252" s="23">
        <v>0</v>
      </c>
      <c r="H252" s="23">
        <v>0</v>
      </c>
    </row>
    <row r="253" ht="20.05" customHeight="1">
      <c r="A253" s="12"/>
      <c r="B253" s="13"/>
      <c r="C253" t="s" s="107">
        <v>116</v>
      </c>
      <c r="D253" s="23">
        <v>0</v>
      </c>
      <c r="E253" s="23">
        <v>7</v>
      </c>
      <c r="F253" s="23">
        <v>2</v>
      </c>
      <c r="G253" s="23">
        <v>0</v>
      </c>
      <c r="H253" s="23">
        <v>0</v>
      </c>
    </row>
    <row r="254" ht="20.05" customHeight="1">
      <c r="A254" s="12"/>
      <c r="B254" t="s" s="106">
        <v>117</v>
      </c>
      <c r="C254" t="s" s="107">
        <v>118</v>
      </c>
      <c r="D254" s="23">
        <v>0</v>
      </c>
      <c r="E254" s="23">
        <v>2</v>
      </c>
      <c r="F254" s="23">
        <v>3</v>
      </c>
      <c r="G254" s="23">
        <v>0</v>
      </c>
      <c r="H254" s="23">
        <v>1</v>
      </c>
    </row>
    <row r="255" ht="32.05" customHeight="1">
      <c r="A255" s="12"/>
      <c r="B255" s="13"/>
      <c r="C255" t="s" s="107">
        <v>119</v>
      </c>
      <c r="D255" s="23">
        <v>0</v>
      </c>
      <c r="E255" s="23">
        <v>1</v>
      </c>
      <c r="F255" s="23">
        <v>3</v>
      </c>
      <c r="G255" s="23">
        <v>0</v>
      </c>
      <c r="H255" s="23">
        <v>0</v>
      </c>
    </row>
    <row r="256" ht="20.05" customHeight="1">
      <c r="A256" s="12"/>
      <c r="B256" t="s" s="106">
        <v>120</v>
      </c>
      <c r="C256" t="s" s="107">
        <v>121</v>
      </c>
      <c r="D256" s="23">
        <v>0</v>
      </c>
      <c r="E256" s="23">
        <v>3</v>
      </c>
      <c r="F256" s="23">
        <v>1</v>
      </c>
      <c r="G256" s="23">
        <v>0</v>
      </c>
      <c r="H256" s="23">
        <v>0</v>
      </c>
    </row>
    <row r="257" ht="20.05" customHeight="1">
      <c r="A257" s="12"/>
      <c r="B257" s="13"/>
      <c r="C257" t="s" s="107">
        <v>122</v>
      </c>
      <c r="D257" s="23">
        <v>1</v>
      </c>
      <c r="E257" s="23">
        <v>1</v>
      </c>
      <c r="F257" s="23">
        <v>1</v>
      </c>
      <c r="G257" s="23">
        <v>0</v>
      </c>
      <c r="H257" s="23">
        <v>0</v>
      </c>
    </row>
    <row r="258" ht="20.05" customHeight="1">
      <c r="A258" s="12"/>
      <c r="B258" s="13"/>
      <c r="C258" t="s" s="107">
        <v>123</v>
      </c>
      <c r="D258" s="23">
        <v>1</v>
      </c>
      <c r="E258" s="23">
        <v>2</v>
      </c>
      <c r="F258" s="23">
        <v>3</v>
      </c>
      <c r="G258" s="23">
        <v>0</v>
      </c>
      <c r="H258" s="23">
        <v>0</v>
      </c>
    </row>
    <row r="259" ht="20.05" customHeight="1">
      <c r="A259" s="12"/>
      <c r="B259" s="13"/>
      <c r="C259" t="s" s="107">
        <v>124</v>
      </c>
      <c r="D259" s="23">
        <v>1</v>
      </c>
      <c r="E259" s="23">
        <v>2</v>
      </c>
      <c r="F259" s="23">
        <v>9</v>
      </c>
      <c r="G259" s="23">
        <v>0</v>
      </c>
      <c r="H259" s="23">
        <v>1</v>
      </c>
    </row>
    <row r="260" ht="20.05" customHeight="1">
      <c r="A260" s="12"/>
      <c r="B260" s="13"/>
      <c r="C260" t="s" s="107">
        <v>125</v>
      </c>
      <c r="D260" s="23">
        <v>0</v>
      </c>
      <c r="E260" s="23">
        <v>7</v>
      </c>
      <c r="F260" s="23">
        <v>2</v>
      </c>
      <c r="G260" s="23">
        <v>0</v>
      </c>
      <c r="H260" s="23">
        <v>0</v>
      </c>
    </row>
    <row r="261" ht="32.05" customHeight="1">
      <c r="A261" s="12"/>
      <c r="B261" s="13"/>
      <c r="C261" t="s" s="107">
        <v>126</v>
      </c>
      <c r="D261" s="23">
        <v>0</v>
      </c>
      <c r="E261" s="23">
        <v>3</v>
      </c>
      <c r="F261" s="23">
        <v>1</v>
      </c>
      <c r="G261" s="23">
        <v>0</v>
      </c>
      <c r="H261" s="23">
        <v>0</v>
      </c>
    </row>
    <row r="262" ht="20.05" customHeight="1">
      <c r="A262" s="12"/>
      <c r="B262" s="13"/>
      <c r="C262" t="s" s="107">
        <v>568</v>
      </c>
      <c r="D262" s="23">
        <v>0</v>
      </c>
      <c r="E262" s="23">
        <v>1</v>
      </c>
      <c r="F262" s="23">
        <v>1</v>
      </c>
      <c r="G262" s="23">
        <v>0</v>
      </c>
      <c r="H262" s="23">
        <v>0</v>
      </c>
    </row>
    <row r="263" ht="20.05" customHeight="1">
      <c r="A263" s="12"/>
      <c r="B263" s="13"/>
      <c r="C263" t="s" s="107">
        <v>569</v>
      </c>
      <c r="D263" s="23">
        <v>0</v>
      </c>
      <c r="E263" s="23">
        <v>3</v>
      </c>
      <c r="F263" s="23">
        <v>6</v>
      </c>
      <c r="G263" s="23">
        <v>0</v>
      </c>
      <c r="H263" s="23">
        <v>0</v>
      </c>
    </row>
    <row r="264" ht="20.85" customHeight="1">
      <c r="A264" s="12"/>
      <c r="B264" t="s" s="106">
        <v>570</v>
      </c>
      <c r="C264" t="s" s="107">
        <v>570</v>
      </c>
      <c r="D264" s="23">
        <v>0</v>
      </c>
      <c r="E264" s="23">
        <v>1</v>
      </c>
      <c r="F264" s="23">
        <v>6</v>
      </c>
      <c r="G264" s="23">
        <v>0</v>
      </c>
      <c r="H264" s="23">
        <v>0</v>
      </c>
    </row>
    <row r="265" ht="20.85" customHeight="1">
      <c r="A265" s="12"/>
      <c r="B265" s="13"/>
      <c r="C265" t="s" s="107">
        <v>571</v>
      </c>
      <c r="D265" s="23">
        <v>0</v>
      </c>
      <c r="E265" s="23">
        <v>3</v>
      </c>
      <c r="F265" s="23">
        <v>1</v>
      </c>
      <c r="G265" s="23">
        <v>0</v>
      </c>
      <c r="H265" s="23">
        <v>0</v>
      </c>
    </row>
    <row r="266" ht="20.85" customHeight="1">
      <c r="A266" s="12"/>
      <c r="B266" t="s" s="106">
        <v>127</v>
      </c>
      <c r="C266" t="s" s="107">
        <v>127</v>
      </c>
      <c r="D266" s="23">
        <v>0</v>
      </c>
      <c r="E266" s="23">
        <v>4</v>
      </c>
      <c r="F266" s="23">
        <v>3</v>
      </c>
      <c r="G266" s="23">
        <v>0</v>
      </c>
      <c r="H266" s="23">
        <v>0</v>
      </c>
    </row>
    <row r="267" ht="21.3" customHeight="1">
      <c r="A267" s="12"/>
      <c r="B267" t="s" s="106">
        <v>128</v>
      </c>
      <c r="C267" t="s" s="108">
        <v>129</v>
      </c>
      <c r="D267" s="23">
        <v>0</v>
      </c>
      <c r="E267" s="23">
        <v>2</v>
      </c>
      <c r="F267" s="23">
        <v>1</v>
      </c>
      <c r="G267" s="23">
        <v>0</v>
      </c>
      <c r="H267" s="23">
        <v>0</v>
      </c>
    </row>
    <row r="268" ht="20.45" customHeight="1">
      <c r="A268" s="12"/>
      <c r="B268" s="13"/>
      <c r="C268" t="s" s="107">
        <v>572</v>
      </c>
      <c r="D268" s="23">
        <v>0</v>
      </c>
      <c r="E268" s="23">
        <v>2</v>
      </c>
      <c r="F268" s="23">
        <v>3</v>
      </c>
      <c r="G268" s="23">
        <v>0</v>
      </c>
      <c r="H268" s="23">
        <v>0</v>
      </c>
    </row>
    <row r="269" ht="20.45" customHeight="1">
      <c r="A269" s="12"/>
      <c r="B269" s="13"/>
      <c r="C269" t="s" s="107">
        <v>573</v>
      </c>
      <c r="D269" s="23">
        <v>0</v>
      </c>
      <c r="E269" s="23">
        <v>6</v>
      </c>
      <c r="F269" s="23">
        <v>3</v>
      </c>
      <c r="G269" s="23">
        <v>0</v>
      </c>
      <c r="H269" s="23">
        <v>0</v>
      </c>
    </row>
    <row r="270" ht="20.45" customHeight="1">
      <c r="A270" s="12"/>
      <c r="B270" s="13"/>
      <c r="C270" t="s" s="107">
        <v>132</v>
      </c>
      <c r="D270" s="23">
        <v>0</v>
      </c>
      <c r="E270" s="23">
        <v>3</v>
      </c>
      <c r="F270" s="23">
        <v>2</v>
      </c>
      <c r="G270" s="23">
        <v>0</v>
      </c>
      <c r="H270" s="23">
        <v>0</v>
      </c>
    </row>
    <row r="271" ht="20.45" customHeight="1">
      <c r="A271" s="12"/>
      <c r="B271" t="s" s="106">
        <v>574</v>
      </c>
      <c r="C271" t="s" s="107">
        <v>575</v>
      </c>
      <c r="D271" s="23">
        <v>0</v>
      </c>
      <c r="E271" s="23">
        <v>7</v>
      </c>
      <c r="F271" s="23">
        <v>9</v>
      </c>
      <c r="G271" s="23">
        <v>0</v>
      </c>
      <c r="H271" s="23">
        <v>0</v>
      </c>
    </row>
    <row r="272" ht="20.45" customHeight="1">
      <c r="A272" s="12"/>
      <c r="B272" t="s" s="106">
        <v>576</v>
      </c>
      <c r="C272" t="s" s="107">
        <v>577</v>
      </c>
      <c r="D272" s="23">
        <v>0</v>
      </c>
      <c r="E272" s="23">
        <v>1</v>
      </c>
      <c r="F272" s="23">
        <v>2</v>
      </c>
      <c r="G272" s="23">
        <v>0</v>
      </c>
      <c r="H272" s="23">
        <v>0</v>
      </c>
    </row>
    <row r="273" ht="20.45" customHeight="1">
      <c r="A273" s="12"/>
      <c r="B273" s="13"/>
      <c r="C273" t="s" s="107">
        <v>578</v>
      </c>
      <c r="D273" s="23">
        <v>0</v>
      </c>
      <c r="E273" s="23">
        <v>3</v>
      </c>
      <c r="F273" s="23">
        <v>1</v>
      </c>
      <c r="G273" s="23">
        <v>0</v>
      </c>
      <c r="H273" s="23">
        <v>0</v>
      </c>
    </row>
    <row r="274" ht="20.45" customHeight="1">
      <c r="A274" s="12"/>
      <c r="B274" s="13"/>
      <c r="C274" t="s" s="107">
        <v>579</v>
      </c>
      <c r="D274" s="23">
        <v>0</v>
      </c>
      <c r="E274" s="23">
        <v>0</v>
      </c>
      <c r="F274" s="23">
        <v>3</v>
      </c>
      <c r="G274" s="23">
        <v>0</v>
      </c>
      <c r="H274" s="23">
        <v>0</v>
      </c>
    </row>
    <row r="275" ht="20.05" customHeight="1">
      <c r="A275" t="s" s="30">
        <v>580</v>
      </c>
      <c r="B275" t="s" s="57">
        <v>316</v>
      </c>
      <c r="C275" t="s" s="32">
        <v>317</v>
      </c>
      <c r="D275" s="33">
        <v>0</v>
      </c>
      <c r="E275" s="33">
        <v>21</v>
      </c>
      <c r="F275" s="33">
        <v>5</v>
      </c>
      <c r="G275" s="33">
        <v>2</v>
      </c>
      <c r="H275" s="33">
        <v>0</v>
      </c>
    </row>
    <row r="276" ht="20.05" customHeight="1">
      <c r="A276" s="12"/>
      <c r="B276" s="13"/>
      <c r="C276" t="s" s="32">
        <v>318</v>
      </c>
      <c r="D276" s="33">
        <v>0</v>
      </c>
      <c r="E276" s="33">
        <v>9</v>
      </c>
      <c r="F276" s="33">
        <v>2</v>
      </c>
      <c r="G276" s="33">
        <v>0</v>
      </c>
      <c r="H276" s="33">
        <v>0</v>
      </c>
    </row>
    <row r="277" ht="20.05" customHeight="1">
      <c r="A277" s="12"/>
      <c r="B277" t="s" s="57">
        <v>319</v>
      </c>
      <c r="C277" t="s" s="32">
        <v>320</v>
      </c>
      <c r="D277" s="33">
        <v>0</v>
      </c>
      <c r="E277" s="33">
        <v>6</v>
      </c>
      <c r="F277" s="33">
        <v>4</v>
      </c>
      <c r="G277" s="33">
        <v>0</v>
      </c>
      <c r="H277" s="33">
        <v>0</v>
      </c>
    </row>
    <row r="278" ht="20.05" customHeight="1">
      <c r="A278" s="12"/>
      <c r="B278" s="13"/>
      <c r="C278" t="s" s="32">
        <v>321</v>
      </c>
      <c r="D278" s="33">
        <v>0</v>
      </c>
      <c r="E278" s="33">
        <v>3</v>
      </c>
      <c r="F278" s="33">
        <v>4</v>
      </c>
      <c r="G278" s="33">
        <v>0</v>
      </c>
      <c r="H278" s="33">
        <v>0</v>
      </c>
    </row>
    <row r="279" ht="20.05" customHeight="1">
      <c r="A279" s="12"/>
      <c r="B279" s="13"/>
      <c r="C279" t="s" s="32">
        <v>581</v>
      </c>
      <c r="D279" s="33">
        <v>1</v>
      </c>
      <c r="E279" s="33">
        <v>1</v>
      </c>
      <c r="F279" s="33">
        <v>2</v>
      </c>
      <c r="G279" s="33">
        <v>0</v>
      </c>
      <c r="H279" s="33">
        <v>0</v>
      </c>
    </row>
    <row r="280" ht="20.05" customHeight="1">
      <c r="A280" s="12"/>
      <c r="B280" t="s" s="57">
        <v>323</v>
      </c>
      <c r="C280" t="s" s="32">
        <v>324</v>
      </c>
      <c r="D280" s="33">
        <v>0</v>
      </c>
      <c r="E280" s="33">
        <v>2</v>
      </c>
      <c r="F280" s="33">
        <v>2</v>
      </c>
      <c r="G280" s="33">
        <v>0</v>
      </c>
      <c r="H280" s="33">
        <v>0</v>
      </c>
    </row>
    <row r="281" ht="20.05" customHeight="1">
      <c r="A281" s="12"/>
      <c r="B281" s="13"/>
      <c r="C281" t="s" s="32">
        <v>325</v>
      </c>
      <c r="D281" s="33">
        <v>0</v>
      </c>
      <c r="E281" s="33">
        <v>2</v>
      </c>
      <c r="F281" s="33">
        <v>1</v>
      </c>
      <c r="G281" s="33">
        <v>0</v>
      </c>
      <c r="H281" s="33">
        <v>0</v>
      </c>
    </row>
    <row r="282" ht="20.05" customHeight="1">
      <c r="A282" s="12"/>
      <c r="B282" s="13"/>
      <c r="C282" t="s" s="32">
        <v>326</v>
      </c>
      <c r="D282" s="33">
        <v>1</v>
      </c>
      <c r="E282" s="33">
        <v>2</v>
      </c>
      <c r="F282" s="33">
        <v>1</v>
      </c>
      <c r="G282" s="33">
        <v>0</v>
      </c>
      <c r="H282" s="33">
        <v>0</v>
      </c>
    </row>
    <row r="283" ht="20.05" customHeight="1">
      <c r="A283" s="12"/>
      <c r="B283" s="13"/>
      <c r="C283" t="s" s="32">
        <v>327</v>
      </c>
      <c r="D283" s="33">
        <v>1</v>
      </c>
      <c r="E283" s="33">
        <v>2</v>
      </c>
      <c r="F283" s="33">
        <v>1</v>
      </c>
      <c r="G283" s="33">
        <v>0</v>
      </c>
      <c r="H283" s="33">
        <v>0</v>
      </c>
    </row>
    <row r="284" ht="20.05" customHeight="1">
      <c r="A284" s="12"/>
      <c r="B284" s="13"/>
      <c r="C284" t="s" s="32">
        <v>328</v>
      </c>
      <c r="D284" s="33">
        <v>0</v>
      </c>
      <c r="E284" s="33">
        <v>3</v>
      </c>
      <c r="F284" s="33">
        <v>3</v>
      </c>
      <c r="G284" s="33">
        <v>1</v>
      </c>
      <c r="H284" s="33">
        <v>0</v>
      </c>
    </row>
    <row r="285" ht="20.05" customHeight="1">
      <c r="A285" s="12"/>
      <c r="B285" s="13"/>
      <c r="C285" t="s" s="32">
        <v>329</v>
      </c>
      <c r="D285" s="33">
        <v>0</v>
      </c>
      <c r="E285" s="33">
        <v>8</v>
      </c>
      <c r="F285" s="33">
        <v>3</v>
      </c>
      <c r="G285" s="33">
        <v>0</v>
      </c>
      <c r="H285" s="33">
        <v>1</v>
      </c>
    </row>
    <row r="286" ht="20.05" customHeight="1">
      <c r="A286" s="12"/>
      <c r="B286" s="13"/>
      <c r="C286" t="s" s="32">
        <v>330</v>
      </c>
      <c r="D286" s="33">
        <v>0</v>
      </c>
      <c r="E286" s="33">
        <v>27</v>
      </c>
      <c r="F286" s="33">
        <v>6</v>
      </c>
      <c r="G286" s="33">
        <v>0</v>
      </c>
      <c r="H286" s="33">
        <v>0</v>
      </c>
    </row>
    <row r="287" ht="20.05" customHeight="1">
      <c r="A287" s="12"/>
      <c r="B287" s="13"/>
      <c r="C287" t="s" s="32">
        <v>331</v>
      </c>
      <c r="D287" s="33">
        <v>0</v>
      </c>
      <c r="E287" s="33">
        <v>8</v>
      </c>
      <c r="F287" s="33">
        <v>2</v>
      </c>
      <c r="G287" s="33">
        <v>0</v>
      </c>
      <c r="H287" s="33">
        <v>0</v>
      </c>
    </row>
    <row r="288" ht="20.05" customHeight="1">
      <c r="A288" s="12"/>
      <c r="B288" s="13"/>
      <c r="C288" t="s" s="32">
        <v>332</v>
      </c>
      <c r="D288" s="33">
        <v>0</v>
      </c>
      <c r="E288" s="33">
        <v>2</v>
      </c>
      <c r="F288" s="33">
        <v>1</v>
      </c>
      <c r="G288" s="33">
        <v>0</v>
      </c>
      <c r="H288" s="33">
        <v>0</v>
      </c>
    </row>
    <row r="289" ht="20.05" customHeight="1">
      <c r="A289" s="12"/>
      <c r="B289" s="13"/>
      <c r="C289" t="s" s="32">
        <v>333</v>
      </c>
      <c r="D289" s="33">
        <v>0</v>
      </c>
      <c r="E289" s="33">
        <v>6</v>
      </c>
      <c r="F289" s="33">
        <v>2</v>
      </c>
      <c r="G289" s="33">
        <v>0</v>
      </c>
      <c r="H289" s="33">
        <v>0</v>
      </c>
    </row>
    <row r="290" ht="22.95" customHeight="1">
      <c r="A290" s="12"/>
      <c r="B290" t="s" s="57">
        <v>340</v>
      </c>
      <c r="C290" t="s" s="32">
        <v>341</v>
      </c>
      <c r="D290" s="33">
        <v>0</v>
      </c>
      <c r="E290" s="33">
        <v>15</v>
      </c>
      <c r="F290" s="33">
        <v>4</v>
      </c>
      <c r="G290" s="33">
        <v>0</v>
      </c>
      <c r="H290" s="33">
        <v>0</v>
      </c>
    </row>
    <row r="291" ht="20.05" customHeight="1">
      <c r="A291" s="12"/>
      <c r="B291" t="s" s="57">
        <v>343</v>
      </c>
      <c r="C291" t="s" s="32">
        <v>344</v>
      </c>
      <c r="D291" s="33">
        <v>0</v>
      </c>
      <c r="E291" s="33">
        <v>7</v>
      </c>
      <c r="F291" s="33">
        <v>0</v>
      </c>
      <c r="G291" s="33">
        <v>0</v>
      </c>
      <c r="H291" s="33">
        <v>0</v>
      </c>
    </row>
    <row r="292" ht="20.05" customHeight="1">
      <c r="A292" s="12"/>
      <c r="B292" s="13"/>
      <c r="C292" t="s" s="32">
        <v>345</v>
      </c>
      <c r="D292" s="33">
        <v>0</v>
      </c>
      <c r="E292" s="33">
        <v>5</v>
      </c>
      <c r="F292" s="33">
        <v>1</v>
      </c>
      <c r="G292" s="33">
        <v>0</v>
      </c>
      <c r="H292" s="33">
        <v>0</v>
      </c>
    </row>
    <row r="293" ht="20.05" customHeight="1">
      <c r="A293" s="12"/>
      <c r="B293" t="s" s="57">
        <v>348</v>
      </c>
      <c r="C293" t="s" s="32">
        <v>349</v>
      </c>
      <c r="D293" s="33">
        <v>0</v>
      </c>
      <c r="E293" s="33">
        <v>4</v>
      </c>
      <c r="F293" s="33">
        <v>0</v>
      </c>
      <c r="G293" s="33">
        <v>0</v>
      </c>
      <c r="H293" s="33">
        <v>0</v>
      </c>
    </row>
    <row r="294" ht="20.05" customHeight="1">
      <c r="A294" s="12"/>
      <c r="B294" s="13"/>
      <c r="C294" t="s" s="32">
        <v>350</v>
      </c>
      <c r="D294" s="33">
        <v>0</v>
      </c>
      <c r="E294" s="33">
        <v>1</v>
      </c>
      <c r="F294" s="33">
        <v>1</v>
      </c>
      <c r="G294" s="33">
        <v>0</v>
      </c>
      <c r="H294" s="33">
        <v>0</v>
      </c>
    </row>
    <row r="295" ht="20.05" customHeight="1">
      <c r="A295" s="12"/>
      <c r="B295" s="13"/>
      <c r="C295" t="s" s="32">
        <v>351</v>
      </c>
      <c r="D295" s="33">
        <v>0</v>
      </c>
      <c r="E295" s="33">
        <v>3</v>
      </c>
      <c r="F295" s="33">
        <v>4</v>
      </c>
      <c r="G295" s="33">
        <v>0</v>
      </c>
      <c r="H295" s="33">
        <v>0</v>
      </c>
    </row>
    <row r="296" ht="20.05" customHeight="1">
      <c r="A296" s="12"/>
      <c r="B296" s="13"/>
      <c r="C296" t="s" s="32">
        <v>352</v>
      </c>
      <c r="D296" s="33">
        <v>0</v>
      </c>
      <c r="E296" s="33">
        <v>4</v>
      </c>
      <c r="F296" s="33">
        <v>2</v>
      </c>
      <c r="G296" s="33">
        <v>0</v>
      </c>
      <c r="H296" s="33">
        <v>0</v>
      </c>
    </row>
    <row r="297" ht="20.05" customHeight="1">
      <c r="A297" s="12"/>
      <c r="B297" t="s" s="109">
        <v>356</v>
      </c>
      <c r="C297" t="s" s="32">
        <v>582</v>
      </c>
      <c r="D297" s="33">
        <v>1</v>
      </c>
      <c r="E297" s="33">
        <v>11</v>
      </c>
      <c r="F297" s="33">
        <v>0</v>
      </c>
      <c r="G297" s="33">
        <v>0</v>
      </c>
      <c r="H297" s="33">
        <v>0</v>
      </c>
    </row>
    <row r="298" ht="20.05" customHeight="1">
      <c r="A298" s="12"/>
      <c r="B298" s="13"/>
      <c r="C298" t="s" s="32">
        <v>583</v>
      </c>
      <c r="D298" s="33">
        <v>0</v>
      </c>
      <c r="E298" s="33">
        <v>3</v>
      </c>
      <c r="F298" s="33">
        <v>7</v>
      </c>
      <c r="G298" s="33">
        <v>0</v>
      </c>
      <c r="H298" s="33">
        <v>0</v>
      </c>
    </row>
    <row r="299" ht="20.05" customHeight="1">
      <c r="A299" s="12"/>
      <c r="B299" s="13"/>
      <c r="C299" t="s" s="32">
        <v>584</v>
      </c>
      <c r="D299" s="33">
        <v>0</v>
      </c>
      <c r="E299" s="33">
        <v>5</v>
      </c>
      <c r="F299" s="33">
        <v>3</v>
      </c>
      <c r="G299" s="33">
        <v>0</v>
      </c>
      <c r="H299" s="33">
        <v>0</v>
      </c>
    </row>
    <row r="300" ht="20.05" customHeight="1">
      <c r="A300" s="12"/>
      <c r="B300" s="13"/>
      <c r="C300" t="s" s="32">
        <v>585</v>
      </c>
      <c r="D300" s="33">
        <v>0</v>
      </c>
      <c r="E300" s="33">
        <v>1</v>
      </c>
      <c r="F300" s="33">
        <v>0</v>
      </c>
      <c r="G300" s="33">
        <v>0</v>
      </c>
      <c r="H300" s="33">
        <v>0</v>
      </c>
    </row>
    <row r="301" ht="20.05" customHeight="1">
      <c r="A301" s="12"/>
      <c r="B301" s="13"/>
      <c r="C301" t="s" s="32">
        <v>376</v>
      </c>
      <c r="D301" s="33">
        <v>0</v>
      </c>
      <c r="E301" s="33">
        <v>7</v>
      </c>
      <c r="F301" s="33">
        <v>1</v>
      </c>
      <c r="G301" s="33">
        <v>0</v>
      </c>
      <c r="H301" s="33">
        <v>1</v>
      </c>
    </row>
    <row r="302" ht="20.05" customHeight="1">
      <c r="A302" s="12"/>
      <c r="B302" s="13"/>
      <c r="C302" t="s" s="32">
        <v>586</v>
      </c>
      <c r="D302" s="33">
        <v>0</v>
      </c>
      <c r="E302" s="33">
        <v>4</v>
      </c>
      <c r="F302" s="33">
        <v>0</v>
      </c>
      <c r="G302" s="33">
        <v>0</v>
      </c>
      <c r="H302" s="33">
        <v>0</v>
      </c>
    </row>
    <row r="303" ht="20.05" customHeight="1">
      <c r="A303" s="12"/>
      <c r="B303" s="13"/>
      <c r="C303" t="s" s="32">
        <v>587</v>
      </c>
      <c r="D303" s="33">
        <v>0</v>
      </c>
      <c r="E303" s="33">
        <v>3</v>
      </c>
      <c r="F303" s="33">
        <v>0</v>
      </c>
      <c r="G303" s="33">
        <v>0</v>
      </c>
      <c r="H303" s="33">
        <v>0</v>
      </c>
    </row>
    <row r="304" ht="20.05" customHeight="1">
      <c r="A304" s="12"/>
      <c r="B304" s="13"/>
      <c r="C304" t="s" s="32">
        <v>588</v>
      </c>
      <c r="D304" s="33">
        <v>0</v>
      </c>
      <c r="E304" s="33">
        <v>13</v>
      </c>
      <c r="F304" s="33">
        <v>8</v>
      </c>
      <c r="G304" s="33">
        <v>0</v>
      </c>
      <c r="H304" s="33">
        <v>0</v>
      </c>
    </row>
    <row r="305" ht="30.8" customHeight="1">
      <c r="A305" t="s" s="70">
        <v>448</v>
      </c>
      <c r="B305" s="13"/>
      <c r="C305" s="14"/>
      <c r="D305" s="71"/>
      <c r="E305" s="71"/>
      <c r="F305" s="71"/>
      <c r="G305" s="71"/>
      <c r="H305" s="71"/>
    </row>
    <row r="307" ht="31.55" customHeight="1">
      <c r="I307" t="s" s="73">
        <v>589</v>
      </c>
      <c r="J307" s="73"/>
      <c r="K307" s="73"/>
      <c r="L307" s="73"/>
      <c r="M307" s="73"/>
      <c r="N307" s="73"/>
      <c r="O307" s="73"/>
      <c r="P307" s="73"/>
    </row>
    <row r="308" ht="32.25" customHeight="1">
      <c r="I308" s="4"/>
      <c r="J308" t="s" s="74">
        <v>2</v>
      </c>
      <c r="K308" t="s" s="74">
        <v>3</v>
      </c>
      <c r="L308" t="s" s="74">
        <v>4</v>
      </c>
      <c r="M308" t="s" s="74">
        <v>5</v>
      </c>
      <c r="N308" t="s" s="74">
        <v>6</v>
      </c>
      <c r="O308" t="s" s="74">
        <v>7</v>
      </c>
      <c r="P308" t="s" s="74">
        <v>8</v>
      </c>
    </row>
    <row r="309" ht="20.25" customHeight="1">
      <c r="I309" t="s" s="75">
        <v>9</v>
      </c>
      <c r="J309" s="76">
        <f>COUNTA(B4:B29)</f>
        <v>6</v>
      </c>
      <c r="K309" s="77">
        <f>COUNTA(C4:C29)</f>
        <v>26</v>
      </c>
      <c r="L309" s="77">
        <f>SUM(D4:D29)</f>
        <v>21</v>
      </c>
      <c r="M309" s="77">
        <f>SUM(E4:E29)</f>
        <v>50</v>
      </c>
      <c r="N309" s="77">
        <f>SUM(F4:F29)</f>
        <v>105</v>
      </c>
      <c r="O309" s="77">
        <f>SUM(G4:G29)</f>
        <v>9</v>
      </c>
      <c r="P309" s="77">
        <f>SUM(H4:H29)</f>
        <v>15</v>
      </c>
    </row>
    <row r="310" ht="20.05" customHeight="1">
      <c r="I310" t="s" s="78">
        <v>50</v>
      </c>
      <c r="J310" s="79">
        <f>COUNTA(B30:B48)</f>
        <v>7</v>
      </c>
      <c r="K310" s="80">
        <f>COUNTA(C30:C48)</f>
        <v>19</v>
      </c>
      <c r="L310" s="80">
        <f>SUM(D30:D48)</f>
        <v>8</v>
      </c>
      <c r="M310" s="80">
        <f>SUM(E30:E48)</f>
        <v>42</v>
      </c>
      <c r="N310" s="80">
        <f>SUM(F30:F48)</f>
        <v>67</v>
      </c>
      <c r="O310" s="80">
        <f>SUM(G30:G48)</f>
        <v>2</v>
      </c>
      <c r="P310" s="80">
        <f>SUM(H30:H48)</f>
        <v>4</v>
      </c>
    </row>
    <row r="311" ht="20.05" customHeight="1">
      <c r="I311" t="s" s="78">
        <v>473</v>
      </c>
      <c r="J311" s="79">
        <f>COUNTA(B49:B59)</f>
        <v>3</v>
      </c>
      <c r="K311" s="80">
        <f>COUNTA(C49:C59)</f>
        <v>11</v>
      </c>
      <c r="L311" s="80">
        <f>SUM(D49:D59)</f>
        <v>0</v>
      </c>
      <c r="M311" s="80">
        <f>SUM(E49:E59)</f>
        <v>32</v>
      </c>
      <c r="N311" s="80">
        <f>SUM(F49:F59)</f>
        <v>5</v>
      </c>
      <c r="O311" s="80">
        <f>SUM(G49:G59)</f>
        <v>1</v>
      </c>
      <c r="P311" s="80">
        <f>SUM(H49:H59)</f>
        <v>1</v>
      </c>
    </row>
    <row r="312" ht="20.05" customHeight="1">
      <c r="I312" t="s" s="78">
        <v>379</v>
      </c>
      <c r="J312" s="79">
        <f>COUNTA(B60:B81)</f>
        <v>3</v>
      </c>
      <c r="K312" s="80">
        <f>COUNTA(C60:C81)</f>
        <v>22</v>
      </c>
      <c r="L312" s="80">
        <f>SUM(D60:D81)</f>
        <v>3</v>
      </c>
      <c r="M312" s="80">
        <f>SUM(E60:E81)</f>
        <v>65</v>
      </c>
      <c r="N312" s="80">
        <f>SUM(F60:F81)</f>
        <v>23</v>
      </c>
      <c r="O312" s="80">
        <f>SUM(G60:G81)</f>
        <v>0</v>
      </c>
      <c r="P312" s="80">
        <f>SUM(H60:H81)</f>
        <v>1</v>
      </c>
    </row>
    <row r="313" ht="20.05" customHeight="1">
      <c r="I313" t="s" s="78">
        <v>77</v>
      </c>
      <c r="J313" s="79">
        <f>COUNTA(B82:B86)</f>
        <v>3</v>
      </c>
      <c r="K313" s="80">
        <f>COUNTA(C82:C86)</f>
        <v>5</v>
      </c>
      <c r="L313" s="80">
        <f>SUM(D82:D86)</f>
        <v>1</v>
      </c>
      <c r="M313" s="80">
        <f>SUM(E82:E86)</f>
        <v>40</v>
      </c>
      <c r="N313" s="80">
        <f>SUM(F82:F86)</f>
        <v>0</v>
      </c>
      <c r="O313" s="80">
        <f>SUM(G82:G86)</f>
        <v>0</v>
      </c>
      <c r="P313" s="80">
        <f>SUM(H82:H86)</f>
        <v>0</v>
      </c>
    </row>
    <row r="314" ht="20.05" customHeight="1">
      <c r="I314" t="s" s="78">
        <v>497</v>
      </c>
      <c r="J314" s="79">
        <f>COUNTA(B87:B106)</f>
        <v>6</v>
      </c>
      <c r="K314" s="80">
        <f>COUNTA(C87:C106)</f>
        <v>20</v>
      </c>
      <c r="L314" s="80">
        <f>SUM(D87:D106)</f>
        <v>1</v>
      </c>
      <c r="M314" s="80">
        <f>SUM(E87:E106)</f>
        <v>48</v>
      </c>
      <c r="N314" s="80">
        <f>SUM(F87:F106)</f>
        <v>0</v>
      </c>
      <c r="O314" s="80">
        <f>SUM(G87:G106)</f>
        <v>0</v>
      </c>
      <c r="P314" s="80">
        <f>SUM(H87:H106)</f>
        <v>0</v>
      </c>
    </row>
    <row r="315" ht="20.05" customHeight="1">
      <c r="I315" t="s" s="78">
        <v>92</v>
      </c>
      <c r="J315" s="79">
        <f>COUNTA(B107:B121)</f>
        <v>9</v>
      </c>
      <c r="K315" s="80">
        <f>COUNTA(C107:C121)</f>
        <v>15</v>
      </c>
      <c r="L315" s="80">
        <f>SUM(D107:D121)</f>
        <v>3</v>
      </c>
      <c r="M315" s="80">
        <f>SUM(E107:E121)</f>
        <v>50</v>
      </c>
      <c r="N315" s="80">
        <f>SUM(F107:F121)</f>
        <v>32</v>
      </c>
      <c r="O315" s="80">
        <f>SUM(G107:G121)</f>
        <v>2</v>
      </c>
      <c r="P315" s="80">
        <f>SUM(H107:H121)</f>
        <v>3</v>
      </c>
    </row>
    <row r="316" ht="20.05" customHeight="1">
      <c r="I316" t="s" s="78">
        <v>133</v>
      </c>
      <c r="J316" s="79">
        <f>COUNTA(B122:B142)</f>
        <v>9</v>
      </c>
      <c r="K316" s="80">
        <f>COUNTA(C122:C142)</f>
        <v>21</v>
      </c>
      <c r="L316" s="80">
        <f>SUM(D122:D142)</f>
        <v>9</v>
      </c>
      <c r="M316" s="80">
        <f>SUM(E122:E142)</f>
        <v>95</v>
      </c>
      <c r="N316" s="80">
        <f>SUM(F122:F142)</f>
        <v>57</v>
      </c>
      <c r="O316" s="80">
        <f>SUM(G122:G142)</f>
        <v>3</v>
      </c>
      <c r="P316" s="80">
        <f>SUM(H122:H142)</f>
        <v>2</v>
      </c>
    </row>
    <row r="317" ht="20.05" customHeight="1">
      <c r="I317" t="s" s="78">
        <v>542</v>
      </c>
      <c r="J317" s="79">
        <f>COUNTA(B143:B171)</f>
        <v>8</v>
      </c>
      <c r="K317" s="80">
        <f>COUNTA(C143:C171)</f>
        <v>29</v>
      </c>
      <c r="L317" s="80">
        <f>SUM(D143:D171)</f>
        <v>11</v>
      </c>
      <c r="M317" s="80">
        <f>SUM(E143:E171)</f>
        <v>74</v>
      </c>
      <c r="N317" s="80">
        <f>SUM(F143:F171)</f>
        <v>85</v>
      </c>
      <c r="O317" s="80">
        <f>SUM(G143:G171)</f>
        <v>2</v>
      </c>
      <c r="P317" s="80">
        <f>SUM(H143:H171)</f>
        <v>4</v>
      </c>
    </row>
    <row r="318" ht="20.05" customHeight="1">
      <c r="I318" t="s" s="78">
        <v>549</v>
      </c>
      <c r="J318" s="79">
        <f>COUNTA(B172:B200)</f>
        <v>12</v>
      </c>
      <c r="K318" s="80">
        <f>COUNTA(C172:C200)</f>
        <v>29</v>
      </c>
      <c r="L318" s="80">
        <f>SUM(D172:D200)</f>
        <v>2</v>
      </c>
      <c r="M318" s="80">
        <f>SUM(E172:E200)</f>
        <v>163</v>
      </c>
      <c r="N318" s="80">
        <f>SUM(F172:F200)</f>
        <v>53</v>
      </c>
      <c r="O318" s="80">
        <f>SUM(G172:G200)</f>
        <v>0</v>
      </c>
      <c r="P318" s="80">
        <f>SUM(H172:H200)</f>
        <v>2</v>
      </c>
    </row>
    <row r="319" ht="20.05" customHeight="1">
      <c r="I319" t="s" s="78">
        <v>551</v>
      </c>
      <c r="J319" s="79">
        <f>COUNTA(B201:B210)</f>
        <v>2</v>
      </c>
      <c r="K319" s="80">
        <f>COUNTA(C201:C210)</f>
        <v>10</v>
      </c>
      <c r="L319" s="80">
        <f>SUM(D201:D210)</f>
        <v>3</v>
      </c>
      <c r="M319" s="80">
        <f>SUM(E201:E210)</f>
        <v>85</v>
      </c>
      <c r="N319" s="80">
        <f>SUM(F201:F210)</f>
        <v>4</v>
      </c>
      <c r="O319" s="80">
        <f>SUM(G201:G210)</f>
        <v>0</v>
      </c>
      <c r="P319" s="80">
        <f>SUM(H201:H210)</f>
        <v>0</v>
      </c>
    </row>
    <row r="320" ht="20.05" customHeight="1">
      <c r="I320" t="s" s="78">
        <v>266</v>
      </c>
      <c r="J320" s="79">
        <f>COUNTA(B211:B242)</f>
        <v>11</v>
      </c>
      <c r="K320" s="80">
        <f>COUNTA(C211:C242)</f>
        <v>32</v>
      </c>
      <c r="L320" s="80">
        <f>SUM(D211:D242)</f>
        <v>5</v>
      </c>
      <c r="M320" s="80">
        <f>SUM(E211:E242)</f>
        <v>170</v>
      </c>
      <c r="N320" s="80">
        <f>SUM(F211:F242)</f>
        <v>85</v>
      </c>
      <c r="O320" s="80">
        <f>SUM(G211:G242)</f>
        <v>3</v>
      </c>
      <c r="P320" s="80">
        <f>SUM(H211:H242)</f>
        <v>3</v>
      </c>
    </row>
    <row r="321" ht="20.05" customHeight="1">
      <c r="I321" t="s" s="78">
        <v>566</v>
      </c>
      <c r="J321" s="79">
        <f>COUNTA(B243:B274)</f>
        <v>9</v>
      </c>
      <c r="K321" s="80">
        <f>COUNTA(C243:C274)</f>
        <v>32</v>
      </c>
      <c r="L321" s="80">
        <f>SUM(D243:D274)</f>
        <v>8</v>
      </c>
      <c r="M321" s="80">
        <f>SUM(E243:E274)</f>
        <v>100</v>
      </c>
      <c r="N321" s="80">
        <f>SUM(F243:F274)</f>
        <v>105</v>
      </c>
      <c r="O321" s="80">
        <f>SUM(G243:G274)</f>
        <v>1</v>
      </c>
      <c r="P321" s="80">
        <f>SUM(H243:H274)</f>
        <v>6</v>
      </c>
    </row>
    <row r="322" ht="20.05" customHeight="1">
      <c r="I322" t="s" s="78">
        <v>590</v>
      </c>
      <c r="J322" s="79">
        <f>COUNTA(B275:B304)</f>
        <v>7</v>
      </c>
      <c r="K322" s="80">
        <f>COUNTA(C275:C304)</f>
        <v>30</v>
      </c>
      <c r="L322" s="80">
        <f>SUM(D275:D304)</f>
        <v>4</v>
      </c>
      <c r="M322" s="80">
        <f>SUM(E275:E304)</f>
        <v>188</v>
      </c>
      <c r="N322" s="80">
        <f>SUM(F275:F304)</f>
        <v>70</v>
      </c>
      <c r="O322" s="80">
        <f>SUM(G275:G304)</f>
        <v>3</v>
      </c>
      <c r="P322" s="80">
        <f>SUM(H275:H304)</f>
        <v>2</v>
      </c>
    </row>
    <row r="323" ht="20.05" customHeight="1">
      <c r="I323" t="s" s="81">
        <v>448</v>
      </c>
      <c r="J323" s="82">
        <f>SUM(J309:J322)</f>
        <v>95</v>
      </c>
      <c r="K323" s="62">
        <f>SUM(K309:K322)</f>
        <v>301</v>
      </c>
      <c r="L323" s="83">
        <f>SUM(L309:L322)</f>
        <v>79</v>
      </c>
      <c r="M323" s="62">
        <f>SUM(M309:M322)</f>
        <v>1202</v>
      </c>
      <c r="N323" s="62">
        <f>SUM(N309:N322)</f>
        <v>691</v>
      </c>
      <c r="O323" s="84">
        <f>SUM(O309:O322)</f>
        <v>26</v>
      </c>
      <c r="P323" s="84">
        <f>SUM(P309:P322)</f>
        <v>43</v>
      </c>
    </row>
    <row r="324" ht="20.05" customHeight="1">
      <c r="I324" t="s" s="78">
        <v>466</v>
      </c>
      <c r="J324" s="85"/>
      <c r="K324" s="71"/>
      <c r="L324" s="71"/>
      <c r="M324" s="80">
        <f>SUM(M323:N323)</f>
        <v>1893</v>
      </c>
      <c r="N324" s="14"/>
      <c r="O324" s="29">
        <f>SUM(L323+O323)</f>
        <v>105</v>
      </c>
      <c r="P324" s="71"/>
    </row>
  </sheetData>
  <mergeCells count="107">
    <mergeCell ref="A1:H1"/>
    <mergeCell ref="A49:A59"/>
    <mergeCell ref="B54:B55"/>
    <mergeCell ref="B56:B59"/>
    <mergeCell ref="B82:B83"/>
    <mergeCell ref="B85:B86"/>
    <mergeCell ref="A82:A86"/>
    <mergeCell ref="B87:B92"/>
    <mergeCell ref="B93:B96"/>
    <mergeCell ref="B102:B106"/>
    <mergeCell ref="B124:B125"/>
    <mergeCell ref="B126"/>
    <mergeCell ref="B127"/>
    <mergeCell ref="A60:A81"/>
    <mergeCell ref="B60:B68"/>
    <mergeCell ref="A211:A242"/>
    <mergeCell ref="B242"/>
    <mergeCell ref="B211:B213"/>
    <mergeCell ref="B214:B217"/>
    <mergeCell ref="B222:B224"/>
    <mergeCell ref="B225:B227"/>
    <mergeCell ref="B229"/>
    <mergeCell ref="B230:B233"/>
    <mergeCell ref="B98:B99"/>
    <mergeCell ref="B100:B101"/>
    <mergeCell ref="A87:A106"/>
    <mergeCell ref="A107:A121"/>
    <mergeCell ref="B122:B123"/>
    <mergeCell ref="B79:B81"/>
    <mergeCell ref="B201:B204"/>
    <mergeCell ref="B205:B210"/>
    <mergeCell ref="B143:B148"/>
    <mergeCell ref="B169"/>
    <mergeCell ref="B170:B171"/>
    <mergeCell ref="B163:B168"/>
    <mergeCell ref="B159:B162"/>
    <mergeCell ref="B155:B158"/>
    <mergeCell ref="B151:B154"/>
    <mergeCell ref="B149:B150"/>
    <mergeCell ref="A201:A210"/>
    <mergeCell ref="B128:B130"/>
    <mergeCell ref="A172:A200"/>
    <mergeCell ref="B138:B140"/>
    <mergeCell ref="D11"/>
    <mergeCell ref="E9"/>
    <mergeCell ref="H9"/>
    <mergeCell ref="F9"/>
    <mergeCell ref="G9"/>
    <mergeCell ref="E10"/>
    <mergeCell ref="F10"/>
    <mergeCell ref="G10"/>
    <mergeCell ref="H10"/>
    <mergeCell ref="E11"/>
    <mergeCell ref="F11"/>
    <mergeCell ref="G11"/>
    <mergeCell ref="H11"/>
    <mergeCell ref="D9"/>
    <mergeCell ref="A4:A29"/>
    <mergeCell ref="B4:B8"/>
    <mergeCell ref="B9:B14"/>
    <mergeCell ref="B15:B16"/>
    <mergeCell ref="B17:B19"/>
    <mergeCell ref="B20:B25"/>
    <mergeCell ref="B26:B29"/>
    <mergeCell ref="B30:B31"/>
    <mergeCell ref="A30:A48"/>
    <mergeCell ref="B32:B33"/>
    <mergeCell ref="B35:B39"/>
    <mergeCell ref="B40:B42"/>
    <mergeCell ref="B43:B44"/>
    <mergeCell ref="B45:B48"/>
    <mergeCell ref="B49:B53"/>
    <mergeCell ref="B69:B78"/>
    <mergeCell ref="B114:B117"/>
    <mergeCell ref="B118:B121"/>
    <mergeCell ref="B131:B137"/>
    <mergeCell ref="A122:A142"/>
    <mergeCell ref="A143:A171"/>
    <mergeCell ref="B172:B176"/>
    <mergeCell ref="B178:B179"/>
    <mergeCell ref="B180:B181"/>
    <mergeCell ref="B183:B184"/>
    <mergeCell ref="B185:B191"/>
    <mergeCell ref="B195:B197"/>
    <mergeCell ref="B198:B200"/>
    <mergeCell ref="B218:B221"/>
    <mergeCell ref="B234:B240"/>
    <mergeCell ref="B243:B251"/>
    <mergeCell ref="B252:B253"/>
    <mergeCell ref="B254:B255"/>
    <mergeCell ref="B256:B263"/>
    <mergeCell ref="B264:B265"/>
    <mergeCell ref="B266"/>
    <mergeCell ref="B267:B270"/>
    <mergeCell ref="B271"/>
    <mergeCell ref="B272:B274"/>
    <mergeCell ref="A243:A274"/>
    <mergeCell ref="B277:B279"/>
    <mergeCell ref="B275:B276"/>
    <mergeCell ref="B280:B289"/>
    <mergeCell ref="B290"/>
    <mergeCell ref="B293:B296"/>
    <mergeCell ref="B291:B292"/>
    <mergeCell ref="B297:B304"/>
    <mergeCell ref="A275:A304"/>
    <mergeCell ref="I307:P307"/>
    <mergeCell ref="M324:N324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P26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7578" style="111" customWidth="1"/>
    <col min="2" max="2" width="47.2188" style="111" customWidth="1"/>
    <col min="3" max="3" width="34.1406" style="111" customWidth="1"/>
    <col min="4" max="8" width="16.3516" style="111" customWidth="1"/>
    <col min="9" max="9" width="40.8203" style="127" customWidth="1"/>
    <col min="10" max="16" width="16.3516" style="127" customWidth="1"/>
    <col min="17" max="16384" width="16.3516" style="127" customWidth="1"/>
  </cols>
  <sheetData>
    <row r="1" ht="37.4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s="3"/>
      <c r="B2" s="3"/>
      <c r="C2" s="3"/>
      <c r="D2" s="4"/>
      <c r="E2" s="4"/>
      <c r="F2" s="4"/>
      <c r="G2" s="4"/>
      <c r="H2" s="4"/>
    </row>
    <row r="3" ht="32.25" customHeight="1">
      <c r="A3" t="s" s="5">
        <v>1</v>
      </c>
      <c r="B3" t="s" s="6">
        <v>2</v>
      </c>
      <c r="C3" t="s" s="7">
        <v>3</v>
      </c>
      <c r="D3" t="s" s="7">
        <v>4</v>
      </c>
      <c r="E3" t="s" s="7">
        <v>5</v>
      </c>
      <c r="F3" t="s" s="7">
        <v>6</v>
      </c>
      <c r="G3" t="s" s="7">
        <v>7</v>
      </c>
      <c r="H3" t="s" s="7">
        <v>8</v>
      </c>
    </row>
    <row r="4" ht="20.05" customHeight="1">
      <c r="A4" t="s" s="8">
        <v>591</v>
      </c>
      <c r="B4" t="s" s="9">
        <v>10</v>
      </c>
      <c r="C4" t="s" s="10">
        <v>12</v>
      </c>
      <c r="D4" s="11">
        <v>0</v>
      </c>
      <c r="E4" s="11">
        <v>2</v>
      </c>
      <c r="F4" s="11">
        <v>3</v>
      </c>
      <c r="G4" s="11">
        <v>0</v>
      </c>
      <c r="H4" s="11">
        <v>1</v>
      </c>
    </row>
    <row r="5" ht="20.05" customHeight="1">
      <c r="A5" s="12"/>
      <c r="B5" s="13"/>
      <c r="C5" t="s" s="10">
        <v>13</v>
      </c>
      <c r="D5" s="11">
        <v>0</v>
      </c>
      <c r="E5" s="11">
        <v>0</v>
      </c>
      <c r="F5" s="11">
        <v>4</v>
      </c>
      <c r="G5" s="11">
        <v>0</v>
      </c>
      <c r="H5" s="11">
        <v>1</v>
      </c>
    </row>
    <row r="6" ht="20.05" customHeight="1">
      <c r="A6" s="12"/>
      <c r="B6" s="13"/>
      <c r="C6" t="s" s="10">
        <v>15</v>
      </c>
      <c r="D6" s="11">
        <v>0</v>
      </c>
      <c r="E6" s="11">
        <v>0</v>
      </c>
      <c r="F6" s="11">
        <v>2</v>
      </c>
      <c r="G6" s="11">
        <v>0</v>
      </c>
      <c r="H6" s="11">
        <v>0</v>
      </c>
    </row>
    <row r="7" ht="20.05" customHeight="1">
      <c r="A7" s="12"/>
      <c r="B7" t="s" s="9">
        <v>16</v>
      </c>
      <c r="C7" t="s" s="10">
        <v>17</v>
      </c>
      <c r="D7" s="11">
        <v>1</v>
      </c>
      <c r="E7" s="11">
        <v>6</v>
      </c>
      <c r="F7" s="11">
        <v>8</v>
      </c>
      <c r="G7" s="11">
        <v>3</v>
      </c>
      <c r="H7" s="11">
        <v>1</v>
      </c>
    </row>
    <row r="8" ht="20.05" customHeight="1">
      <c r="A8" s="12"/>
      <c r="B8" s="13"/>
      <c r="C8" t="s" s="10">
        <v>18</v>
      </c>
      <c r="D8" s="11">
        <v>1</v>
      </c>
      <c r="E8" s="11">
        <v>2</v>
      </c>
      <c r="F8" s="11">
        <v>3</v>
      </c>
      <c r="G8" s="11">
        <v>0</v>
      </c>
      <c r="H8" s="11">
        <v>0</v>
      </c>
    </row>
    <row r="9" ht="20.05" customHeight="1">
      <c r="A9" s="12"/>
      <c r="B9" s="13"/>
      <c r="C9" t="s" s="10">
        <v>468</v>
      </c>
      <c r="D9" s="11">
        <v>2</v>
      </c>
      <c r="E9" s="11">
        <v>2</v>
      </c>
      <c r="F9" s="11">
        <v>14</v>
      </c>
      <c r="G9" s="11">
        <v>2</v>
      </c>
      <c r="H9" s="11">
        <v>1</v>
      </c>
    </row>
    <row r="10" ht="20.05" customHeight="1">
      <c r="A10" s="12"/>
      <c r="B10" s="13"/>
      <c r="C10" t="s" s="10">
        <v>20</v>
      </c>
      <c r="D10" s="11">
        <v>1</v>
      </c>
      <c r="E10" s="11">
        <v>2</v>
      </c>
      <c r="F10" s="11">
        <v>5</v>
      </c>
      <c r="G10" s="11">
        <v>1</v>
      </c>
      <c r="H10" s="11">
        <v>1</v>
      </c>
    </row>
    <row r="11" ht="20.05" customHeight="1">
      <c r="A11" s="12"/>
      <c r="B11" s="13"/>
      <c r="C11" t="s" s="10">
        <v>21</v>
      </c>
      <c r="D11" s="11">
        <v>1</v>
      </c>
      <c r="E11" s="11">
        <v>2</v>
      </c>
      <c r="F11" s="11">
        <v>8</v>
      </c>
      <c r="G11" s="11">
        <v>0</v>
      </c>
      <c r="H11" s="11">
        <v>1</v>
      </c>
    </row>
    <row r="12" ht="20.05" customHeight="1">
      <c r="A12" s="12"/>
      <c r="B12" s="13"/>
      <c r="C12" t="s" s="10">
        <v>22</v>
      </c>
      <c r="D12" s="11">
        <v>1</v>
      </c>
      <c r="E12" s="11">
        <v>2</v>
      </c>
      <c r="F12" s="11">
        <v>7</v>
      </c>
      <c r="G12" s="11">
        <v>1</v>
      </c>
      <c r="H12" s="11">
        <v>1</v>
      </c>
    </row>
    <row r="13" ht="20.05" customHeight="1">
      <c r="A13" s="12"/>
      <c r="B13" t="s" s="9">
        <v>592</v>
      </c>
      <c r="C13" t="s" s="10">
        <v>24</v>
      </c>
      <c r="D13" s="11">
        <v>0</v>
      </c>
      <c r="E13" s="11">
        <v>2</v>
      </c>
      <c r="F13" s="11">
        <v>2</v>
      </c>
      <c r="G13" s="11">
        <v>0</v>
      </c>
      <c r="H13" s="11">
        <v>1</v>
      </c>
    </row>
    <row r="14" ht="20.05" customHeight="1">
      <c r="A14" s="12"/>
      <c r="B14" s="13"/>
      <c r="C14" t="s" s="10">
        <v>25</v>
      </c>
      <c r="D14" s="11">
        <v>1</v>
      </c>
      <c r="E14" s="11">
        <v>4</v>
      </c>
      <c r="F14" s="11">
        <v>0</v>
      </c>
      <c r="G14" s="11">
        <v>0</v>
      </c>
      <c r="H14" s="11">
        <v>1</v>
      </c>
    </row>
    <row r="15" ht="20.05" customHeight="1">
      <c r="A15" s="12"/>
      <c r="B15" s="13"/>
      <c r="C15" t="s" s="10">
        <v>26</v>
      </c>
      <c r="D15" s="11">
        <v>0</v>
      </c>
      <c r="E15" s="11">
        <v>3</v>
      </c>
      <c r="F15" s="11">
        <v>0</v>
      </c>
      <c r="G15" s="11">
        <v>0</v>
      </c>
      <c r="H15" s="11">
        <v>1</v>
      </c>
    </row>
    <row r="16" ht="20.05" customHeight="1">
      <c r="A16" s="12"/>
      <c r="B16" s="13"/>
      <c r="C16" t="s" s="10">
        <v>28</v>
      </c>
      <c r="D16" s="11">
        <v>1</v>
      </c>
      <c r="E16" s="11">
        <v>0</v>
      </c>
      <c r="F16" s="11">
        <v>6</v>
      </c>
      <c r="G16" s="11">
        <v>0</v>
      </c>
      <c r="H16" s="11">
        <v>0</v>
      </c>
    </row>
    <row r="17" ht="20.05" customHeight="1">
      <c r="A17" s="12"/>
      <c r="B17" s="13"/>
      <c r="C17" t="s" s="10">
        <v>593</v>
      </c>
      <c r="D17" s="11">
        <v>1</v>
      </c>
      <c r="E17" s="11">
        <v>5</v>
      </c>
      <c r="F17" s="11">
        <v>0</v>
      </c>
      <c r="G17" s="11">
        <v>0</v>
      </c>
      <c r="H17" s="11">
        <v>1</v>
      </c>
    </row>
    <row r="18" ht="20.05" customHeight="1">
      <c r="A18" s="12"/>
      <c r="B18" t="s" s="9">
        <v>594</v>
      </c>
      <c r="C18" t="s" s="10">
        <v>37</v>
      </c>
      <c r="D18" s="11">
        <v>1</v>
      </c>
      <c r="E18" s="11">
        <v>4</v>
      </c>
      <c r="F18" s="11">
        <v>5</v>
      </c>
      <c r="G18" s="11">
        <v>0</v>
      </c>
      <c r="H18" s="11">
        <v>0</v>
      </c>
    </row>
    <row r="19" ht="20.05" customHeight="1">
      <c r="A19" s="12"/>
      <c r="B19" s="13"/>
      <c r="C19" t="s" s="10">
        <v>38</v>
      </c>
      <c r="D19" s="11">
        <v>2</v>
      </c>
      <c r="E19" s="11">
        <v>10</v>
      </c>
      <c r="F19" s="11">
        <v>0</v>
      </c>
      <c r="G19" s="11">
        <v>1</v>
      </c>
      <c r="H19" s="11">
        <v>0</v>
      </c>
    </row>
    <row r="20" ht="20.05" customHeight="1">
      <c r="A20" s="12"/>
      <c r="B20" t="s" s="9">
        <v>595</v>
      </c>
      <c r="C20" t="s" s="10">
        <v>596</v>
      </c>
      <c r="D20" s="11">
        <v>2</v>
      </c>
      <c r="E20" s="11">
        <v>8</v>
      </c>
      <c r="F20" s="11">
        <v>0</v>
      </c>
      <c r="G20" s="11">
        <v>0</v>
      </c>
      <c r="H20" s="11">
        <v>1</v>
      </c>
    </row>
    <row r="21" ht="20.05" customHeight="1">
      <c r="A21" s="12"/>
      <c r="B21" s="13"/>
      <c r="C21" t="s" s="10">
        <v>61</v>
      </c>
      <c r="D21" s="11">
        <v>1</v>
      </c>
      <c r="E21" s="11">
        <v>6</v>
      </c>
      <c r="F21" s="11">
        <v>0</v>
      </c>
      <c r="G21" s="11">
        <v>1</v>
      </c>
      <c r="H21" s="11">
        <v>1</v>
      </c>
    </row>
    <row r="22" ht="20.05" customHeight="1">
      <c r="A22" s="12"/>
      <c r="B22" s="13"/>
      <c r="C22" t="s" s="10">
        <v>62</v>
      </c>
      <c r="D22" s="11">
        <v>0</v>
      </c>
      <c r="E22" s="11">
        <v>4</v>
      </c>
      <c r="F22" s="11">
        <v>0</v>
      </c>
      <c r="G22" s="11">
        <v>0</v>
      </c>
      <c r="H22" s="11">
        <v>1</v>
      </c>
    </row>
    <row r="23" ht="20.05" customHeight="1">
      <c r="A23" s="12"/>
      <c r="B23" s="13"/>
      <c r="C23" t="s" s="10">
        <v>63</v>
      </c>
      <c r="D23" s="11">
        <v>0</v>
      </c>
      <c r="E23" s="11">
        <v>4</v>
      </c>
      <c r="F23" s="11">
        <v>0</v>
      </c>
      <c r="G23" s="11">
        <v>0</v>
      </c>
      <c r="H23" s="11">
        <v>0</v>
      </c>
    </row>
    <row r="24" ht="20.05" customHeight="1">
      <c r="A24" s="12"/>
      <c r="B24" s="13"/>
      <c r="C24" t="s" s="10">
        <v>597</v>
      </c>
      <c r="D24" s="11">
        <v>0</v>
      </c>
      <c r="E24" s="11">
        <v>6</v>
      </c>
      <c r="F24" s="11">
        <v>0</v>
      </c>
      <c r="G24" s="11">
        <v>0</v>
      </c>
      <c r="H24" s="11">
        <v>1</v>
      </c>
    </row>
    <row r="25" ht="20.05" customHeight="1">
      <c r="A25" s="12"/>
      <c r="B25" s="13"/>
      <c r="C25" t="s" s="10">
        <v>53</v>
      </c>
      <c r="D25" s="11">
        <v>0</v>
      </c>
      <c r="E25" s="11">
        <v>4</v>
      </c>
      <c r="F25" s="11">
        <v>0</v>
      </c>
      <c r="G25" s="11">
        <v>0</v>
      </c>
      <c r="H25" s="11">
        <v>0</v>
      </c>
    </row>
    <row r="26" ht="20.05" customHeight="1">
      <c r="A26" s="12"/>
      <c r="B26" s="13"/>
      <c r="C26" t="s" s="10">
        <v>69</v>
      </c>
      <c r="D26" s="11">
        <v>1</v>
      </c>
      <c r="E26" s="11">
        <v>8</v>
      </c>
      <c r="F26" s="11">
        <v>0</v>
      </c>
      <c r="G26" s="11">
        <v>0</v>
      </c>
      <c r="H26" s="11">
        <v>0</v>
      </c>
    </row>
    <row r="27" ht="20.05" customHeight="1">
      <c r="A27" t="s" s="19">
        <v>77</v>
      </c>
      <c r="B27" t="s" s="20">
        <v>78</v>
      </c>
      <c r="C27" t="s" s="21">
        <v>79</v>
      </c>
      <c r="D27" s="22">
        <v>0</v>
      </c>
      <c r="E27" s="22">
        <v>11</v>
      </c>
      <c r="F27" s="22">
        <v>0</v>
      </c>
      <c r="G27" s="22">
        <v>0</v>
      </c>
      <c r="H27" s="22">
        <v>0</v>
      </c>
    </row>
    <row r="28" ht="20.05" customHeight="1">
      <c r="A28" s="12"/>
      <c r="B28" s="13"/>
      <c r="C28" t="s" s="21">
        <v>80</v>
      </c>
      <c r="D28" s="22">
        <v>0</v>
      </c>
      <c r="E28" s="22">
        <v>6</v>
      </c>
      <c r="F28" s="22">
        <v>0</v>
      </c>
      <c r="G28" s="22">
        <v>0</v>
      </c>
      <c r="H28" s="22">
        <v>0</v>
      </c>
    </row>
    <row r="29" ht="20.05" customHeight="1">
      <c r="A29" s="12"/>
      <c r="B29" s="13"/>
      <c r="C29" t="s" s="21">
        <v>81</v>
      </c>
      <c r="D29" s="22">
        <v>0</v>
      </c>
      <c r="E29" s="22">
        <v>18</v>
      </c>
      <c r="F29" s="22">
        <v>0</v>
      </c>
      <c r="G29" s="22">
        <v>0</v>
      </c>
      <c r="H29" s="22">
        <v>0</v>
      </c>
    </row>
    <row r="30" ht="32.05" customHeight="1">
      <c r="A30" s="12"/>
      <c r="B30" t="s" s="20">
        <v>82</v>
      </c>
      <c r="C30" t="s" s="21">
        <v>83</v>
      </c>
      <c r="D30" s="22">
        <v>0</v>
      </c>
      <c r="E30" s="22">
        <v>5</v>
      </c>
      <c r="F30" s="22">
        <v>0</v>
      </c>
      <c r="G30" s="22">
        <v>0</v>
      </c>
      <c r="H30" s="22">
        <v>0</v>
      </c>
    </row>
    <row r="31" ht="23.95" customHeight="1">
      <c r="A31" s="12"/>
      <c r="B31" t="s" s="20">
        <v>598</v>
      </c>
      <c r="C31" t="s" s="21">
        <v>598</v>
      </c>
      <c r="D31" s="22">
        <v>1</v>
      </c>
      <c r="E31" s="22">
        <v>1</v>
      </c>
      <c r="F31" s="22">
        <v>0</v>
      </c>
      <c r="G31" s="22">
        <v>0</v>
      </c>
      <c r="H31" s="22">
        <v>0</v>
      </c>
    </row>
    <row r="32" ht="23.95" customHeight="1">
      <c r="A32" s="12"/>
      <c r="B32" t="s" s="20">
        <v>599</v>
      </c>
      <c r="C32" t="s" s="21">
        <v>600</v>
      </c>
      <c r="D32" s="22">
        <v>0</v>
      </c>
      <c r="E32" s="22">
        <v>4</v>
      </c>
      <c r="F32" s="22">
        <v>0</v>
      </c>
      <c r="G32" s="22">
        <v>0</v>
      </c>
      <c r="H32" s="22">
        <v>0</v>
      </c>
    </row>
    <row r="33" ht="23.95" customHeight="1">
      <c r="A33" t="s" s="26">
        <v>92</v>
      </c>
      <c r="B33" t="s" s="27">
        <v>93</v>
      </c>
      <c r="C33" t="s" s="28">
        <v>93</v>
      </c>
      <c r="D33" s="29">
        <v>1</v>
      </c>
      <c r="E33" s="29">
        <v>2</v>
      </c>
      <c r="F33" s="29">
        <v>7</v>
      </c>
      <c r="G33" s="29">
        <v>1</v>
      </c>
      <c r="H33" s="29">
        <v>1</v>
      </c>
    </row>
    <row r="34" ht="23.95" customHeight="1">
      <c r="A34" s="12"/>
      <c r="B34" t="s" s="27">
        <v>94</v>
      </c>
      <c r="C34" t="s" s="28">
        <v>94</v>
      </c>
      <c r="D34" s="29">
        <v>0</v>
      </c>
      <c r="E34" s="29">
        <v>2</v>
      </c>
      <c r="F34" s="29">
        <v>3</v>
      </c>
      <c r="G34" s="29">
        <v>0</v>
      </c>
      <c r="H34" s="29">
        <v>1</v>
      </c>
    </row>
    <row r="35" ht="23.95" customHeight="1">
      <c r="A35" s="12"/>
      <c r="B35" t="s" s="27">
        <v>601</v>
      </c>
      <c r="C35" t="s" s="28">
        <v>601</v>
      </c>
      <c r="D35" s="29">
        <v>1</v>
      </c>
      <c r="E35" s="29">
        <v>11</v>
      </c>
      <c r="F35" s="29">
        <v>3</v>
      </c>
      <c r="G35" s="29">
        <v>0</v>
      </c>
      <c r="H35" s="29">
        <v>0</v>
      </c>
    </row>
    <row r="36" ht="23.95" customHeight="1">
      <c r="A36" s="12"/>
      <c r="B36" t="s" s="27">
        <v>96</v>
      </c>
      <c r="C36" t="s" s="28">
        <v>96</v>
      </c>
      <c r="D36" s="29">
        <v>0</v>
      </c>
      <c r="E36" s="29">
        <v>3</v>
      </c>
      <c r="F36" s="29">
        <v>2</v>
      </c>
      <c r="G36" s="29">
        <v>0</v>
      </c>
      <c r="H36" s="29">
        <v>0</v>
      </c>
    </row>
    <row r="37" ht="23.95" customHeight="1">
      <c r="A37" s="12"/>
      <c r="B37" t="s" s="27">
        <v>97</v>
      </c>
      <c r="C37" t="s" s="28">
        <v>97</v>
      </c>
      <c r="D37" s="29">
        <v>1</v>
      </c>
      <c r="E37" s="29">
        <v>3</v>
      </c>
      <c r="F37" s="29">
        <v>6</v>
      </c>
      <c r="G37" s="29">
        <v>0</v>
      </c>
      <c r="H37" s="29">
        <v>0</v>
      </c>
    </row>
    <row r="38" ht="23.95" customHeight="1">
      <c r="A38" s="12"/>
      <c r="B38" t="s" s="27">
        <v>98</v>
      </c>
      <c r="C38" t="s" s="28">
        <v>98</v>
      </c>
      <c r="D38" s="29">
        <v>0</v>
      </c>
      <c r="E38" s="29">
        <v>3</v>
      </c>
      <c r="F38" s="29">
        <v>2</v>
      </c>
      <c r="G38" s="29">
        <v>0</v>
      </c>
      <c r="H38" s="29">
        <v>1</v>
      </c>
    </row>
    <row r="39" ht="23.95" customHeight="1">
      <c r="A39" s="12"/>
      <c r="B39" t="s" s="27">
        <v>99</v>
      </c>
      <c r="C39" t="s" s="28">
        <v>100</v>
      </c>
      <c r="D39" s="29">
        <v>0</v>
      </c>
      <c r="E39" s="29">
        <v>3</v>
      </c>
      <c r="F39" s="29">
        <v>3</v>
      </c>
      <c r="G39" s="29">
        <v>0</v>
      </c>
      <c r="H39" s="29">
        <v>0</v>
      </c>
    </row>
    <row r="40" ht="23.95" customHeight="1">
      <c r="A40" s="12"/>
      <c r="B40" t="s" s="27">
        <v>101</v>
      </c>
      <c r="C40" t="s" s="28">
        <v>101</v>
      </c>
      <c r="D40" s="29">
        <v>0</v>
      </c>
      <c r="E40" s="29">
        <v>2</v>
      </c>
      <c r="F40" s="29">
        <v>2</v>
      </c>
      <c r="G40" s="29">
        <v>0</v>
      </c>
      <c r="H40" s="29">
        <v>0</v>
      </c>
    </row>
    <row r="41" ht="23.95" customHeight="1">
      <c r="A41" s="12"/>
      <c r="B41" t="s" s="27">
        <v>102</v>
      </c>
      <c r="C41" t="s" s="24">
        <v>102</v>
      </c>
      <c r="D41" s="25">
        <v>0</v>
      </c>
      <c r="E41" s="25">
        <v>4</v>
      </c>
      <c r="F41" s="25">
        <v>2</v>
      </c>
      <c r="G41" s="25">
        <v>0</v>
      </c>
      <c r="H41" s="25">
        <v>0</v>
      </c>
    </row>
    <row r="42" ht="23.95" customHeight="1">
      <c r="A42" s="12"/>
      <c r="B42" t="s" s="27">
        <v>91</v>
      </c>
      <c r="C42" t="s" s="24">
        <v>91</v>
      </c>
      <c r="D42" s="25">
        <v>0</v>
      </c>
      <c r="E42" s="25">
        <v>2</v>
      </c>
      <c r="F42" s="25">
        <v>0</v>
      </c>
      <c r="G42" s="25">
        <v>0</v>
      </c>
      <c r="H42" s="25">
        <v>0</v>
      </c>
    </row>
    <row r="43" ht="23.95" customHeight="1">
      <c r="A43" s="12"/>
      <c r="B43" t="s" s="27">
        <v>602</v>
      </c>
      <c r="C43" t="s" s="24">
        <v>90</v>
      </c>
      <c r="D43" s="25">
        <v>1</v>
      </c>
      <c r="E43" s="25">
        <v>4</v>
      </c>
      <c r="F43" s="25">
        <v>0</v>
      </c>
      <c r="G43" s="25">
        <v>0</v>
      </c>
      <c r="H43" s="25">
        <v>0</v>
      </c>
    </row>
    <row r="44" ht="23.95" customHeight="1">
      <c r="A44" s="12"/>
      <c r="B44" t="s" s="27">
        <v>603</v>
      </c>
      <c r="C44" t="s" s="24">
        <v>603</v>
      </c>
      <c r="D44" s="25">
        <v>0</v>
      </c>
      <c r="E44" s="25">
        <v>1</v>
      </c>
      <c r="F44" s="25">
        <v>0</v>
      </c>
      <c r="G44" s="25">
        <v>0</v>
      </c>
      <c r="H44" s="25">
        <v>0</v>
      </c>
    </row>
    <row r="45" ht="20.05" customHeight="1">
      <c r="A45" s="12"/>
      <c r="B45" t="s" s="27">
        <v>525</v>
      </c>
      <c r="C45" t="s" s="24">
        <v>65</v>
      </c>
      <c r="D45" s="25">
        <v>0</v>
      </c>
      <c r="E45" s="25">
        <v>2</v>
      </c>
      <c r="F45" s="25">
        <v>4</v>
      </c>
      <c r="G45" s="25">
        <v>0</v>
      </c>
      <c r="H45" s="25">
        <v>0</v>
      </c>
    </row>
    <row r="46" ht="20.05" customHeight="1">
      <c r="A46" s="12"/>
      <c r="B46" s="13"/>
      <c r="C46" t="s" s="28">
        <v>526</v>
      </c>
      <c r="D46" s="29">
        <v>0</v>
      </c>
      <c r="E46" s="29">
        <v>4</v>
      </c>
      <c r="F46" s="29">
        <v>0</v>
      </c>
      <c r="G46" s="29">
        <v>0</v>
      </c>
      <c r="H46" s="29">
        <v>0</v>
      </c>
    </row>
    <row r="47" ht="20.05" customHeight="1">
      <c r="A47" s="12"/>
      <c r="B47" s="13"/>
      <c r="C47" t="s" s="28">
        <v>527</v>
      </c>
      <c r="D47" s="29">
        <v>0</v>
      </c>
      <c r="E47" s="29">
        <v>4</v>
      </c>
      <c r="F47" s="29">
        <v>0</v>
      </c>
      <c r="G47" s="29">
        <v>0</v>
      </c>
      <c r="H47" s="29">
        <v>0</v>
      </c>
    </row>
    <row r="48" ht="20.05" customHeight="1">
      <c r="A48" s="12"/>
      <c r="B48" s="13"/>
      <c r="C48" t="s" s="28">
        <v>528</v>
      </c>
      <c r="D48" s="29">
        <v>0</v>
      </c>
      <c r="E48" s="29">
        <v>3</v>
      </c>
      <c r="F48" s="29">
        <v>0</v>
      </c>
      <c r="G48" s="29">
        <v>0</v>
      </c>
      <c r="H48" s="29">
        <v>0</v>
      </c>
    </row>
    <row r="49" ht="20.05" customHeight="1">
      <c r="A49" t="s" s="36">
        <v>133</v>
      </c>
      <c r="B49" t="s" s="37">
        <v>134</v>
      </c>
      <c r="C49" t="s" s="38">
        <v>135</v>
      </c>
      <c r="D49" s="39">
        <v>0</v>
      </c>
      <c r="E49" s="39">
        <v>5</v>
      </c>
      <c r="F49" s="39">
        <v>0</v>
      </c>
      <c r="G49" s="39">
        <v>0</v>
      </c>
      <c r="H49" s="39">
        <v>0</v>
      </c>
    </row>
    <row r="50" ht="20.05" customHeight="1">
      <c r="A50" s="12"/>
      <c r="B50" s="13"/>
      <c r="C50" t="s" s="38">
        <v>604</v>
      </c>
      <c r="D50" s="39">
        <v>1</v>
      </c>
      <c r="E50" s="39">
        <v>16</v>
      </c>
      <c r="F50" s="39">
        <v>0</v>
      </c>
      <c r="G50" s="39">
        <v>0</v>
      </c>
      <c r="H50" s="39">
        <v>1</v>
      </c>
    </row>
    <row r="51" ht="20.05" customHeight="1">
      <c r="A51" s="12"/>
      <c r="B51" s="13"/>
      <c r="C51" t="s" s="38">
        <v>532</v>
      </c>
      <c r="D51" s="39">
        <v>0</v>
      </c>
      <c r="E51" s="39">
        <v>5</v>
      </c>
      <c r="F51" s="39">
        <v>0</v>
      </c>
      <c r="G51" s="39">
        <v>0</v>
      </c>
      <c r="H51" s="39">
        <v>0</v>
      </c>
    </row>
    <row r="52" ht="20.05" customHeight="1">
      <c r="A52" s="12"/>
      <c r="B52" t="s" s="37">
        <v>605</v>
      </c>
      <c r="C52" t="s" s="38">
        <v>606</v>
      </c>
      <c r="D52" s="39">
        <v>0</v>
      </c>
      <c r="E52" s="39">
        <v>2</v>
      </c>
      <c r="F52" s="39">
        <v>0</v>
      </c>
      <c r="G52" s="39">
        <v>0</v>
      </c>
      <c r="H52" s="39">
        <v>0</v>
      </c>
    </row>
    <row r="53" ht="20.05" customHeight="1">
      <c r="A53" s="12"/>
      <c r="B53" s="13"/>
      <c r="C53" t="s" s="38">
        <v>607</v>
      </c>
      <c r="D53" s="39">
        <v>0</v>
      </c>
      <c r="E53" s="39">
        <v>2</v>
      </c>
      <c r="F53" s="39">
        <v>0</v>
      </c>
      <c r="G53" s="39">
        <v>0</v>
      </c>
      <c r="H53" s="39">
        <v>0</v>
      </c>
    </row>
    <row r="54" ht="20.05" customHeight="1">
      <c r="A54" s="12"/>
      <c r="B54" t="s" s="37">
        <v>138</v>
      </c>
      <c r="C54" t="s" s="38">
        <v>608</v>
      </c>
      <c r="D54" s="39">
        <v>0</v>
      </c>
      <c r="E54" s="39">
        <v>1</v>
      </c>
      <c r="F54" s="39">
        <v>0</v>
      </c>
      <c r="G54" s="39">
        <v>0</v>
      </c>
      <c r="H54" s="39">
        <v>0</v>
      </c>
    </row>
    <row r="55" ht="20.05" customHeight="1">
      <c r="A55" s="12"/>
      <c r="B55" s="13"/>
      <c r="C55" t="s" s="38">
        <v>533</v>
      </c>
      <c r="D55" s="39">
        <v>0</v>
      </c>
      <c r="E55" s="39">
        <v>2</v>
      </c>
      <c r="F55" s="39">
        <v>0</v>
      </c>
      <c r="G55" s="39">
        <v>0</v>
      </c>
      <c r="H55" s="39">
        <v>0</v>
      </c>
    </row>
    <row r="56" ht="20.05" customHeight="1">
      <c r="A56" s="12"/>
      <c r="B56" s="13"/>
      <c r="C56" t="s" s="38">
        <v>156</v>
      </c>
      <c r="D56" s="39">
        <v>0</v>
      </c>
      <c r="E56" s="39">
        <v>4</v>
      </c>
      <c r="F56" s="39">
        <v>0</v>
      </c>
      <c r="G56" s="39">
        <v>0</v>
      </c>
      <c r="H56" s="39">
        <v>0</v>
      </c>
    </row>
    <row r="57" ht="20.05" customHeight="1">
      <c r="A57" s="12"/>
      <c r="B57" t="s" s="37">
        <v>609</v>
      </c>
      <c r="C57" t="s" s="38">
        <v>152</v>
      </c>
      <c r="D57" s="39">
        <v>0</v>
      </c>
      <c r="E57" s="39">
        <v>1</v>
      </c>
      <c r="F57" s="39">
        <v>0</v>
      </c>
      <c r="G57" s="39">
        <v>0</v>
      </c>
      <c r="H57" s="39">
        <v>0</v>
      </c>
    </row>
    <row r="58" ht="20.05" customHeight="1">
      <c r="A58" s="12"/>
      <c r="B58" s="13"/>
      <c r="C58" t="s" s="38">
        <v>153</v>
      </c>
      <c r="D58" s="39">
        <v>0</v>
      </c>
      <c r="E58" s="39">
        <v>1</v>
      </c>
      <c r="F58" s="39">
        <v>0</v>
      </c>
      <c r="G58" s="39">
        <v>0</v>
      </c>
      <c r="H58" s="39">
        <v>0</v>
      </c>
    </row>
    <row r="59" ht="32.05" customHeight="1">
      <c r="A59" s="12"/>
      <c r="B59" t="s" s="37">
        <v>610</v>
      </c>
      <c r="C59" t="s" s="38">
        <v>140</v>
      </c>
      <c r="D59" s="39">
        <v>0</v>
      </c>
      <c r="E59" s="39">
        <v>7</v>
      </c>
      <c r="F59" s="39">
        <v>0</v>
      </c>
      <c r="G59" s="39">
        <v>0</v>
      </c>
      <c r="H59" s="39">
        <v>0</v>
      </c>
    </row>
    <row r="60" ht="20.05" customHeight="1">
      <c r="A60" s="12"/>
      <c r="B60" t="s" s="37">
        <v>611</v>
      </c>
      <c r="C60" t="s" s="38">
        <v>142</v>
      </c>
      <c r="D60" s="39">
        <v>0</v>
      </c>
      <c r="E60" s="39">
        <v>4</v>
      </c>
      <c r="F60" s="39">
        <v>0</v>
      </c>
      <c r="G60" s="39">
        <v>1</v>
      </c>
      <c r="H60" s="39">
        <v>0</v>
      </c>
    </row>
    <row r="61" ht="20.05" customHeight="1">
      <c r="A61" s="12"/>
      <c r="B61" s="13"/>
      <c r="C61" t="s" s="38">
        <v>144</v>
      </c>
      <c r="D61" s="39">
        <v>0</v>
      </c>
      <c r="E61" s="39">
        <v>1</v>
      </c>
      <c r="F61" s="39">
        <v>0</v>
      </c>
      <c r="G61" s="39">
        <v>0</v>
      </c>
      <c r="H61" s="39">
        <v>0</v>
      </c>
    </row>
    <row r="62" ht="20.05" customHeight="1">
      <c r="A62" s="12"/>
      <c r="B62" s="13"/>
      <c r="C62" t="s" s="38">
        <v>145</v>
      </c>
      <c r="D62" s="39">
        <v>0</v>
      </c>
      <c r="E62" s="39">
        <v>4</v>
      </c>
      <c r="F62" s="39">
        <v>0</v>
      </c>
      <c r="G62" s="39">
        <v>0</v>
      </c>
      <c r="H62" s="39">
        <v>0</v>
      </c>
    </row>
    <row r="63" ht="20.05" customHeight="1">
      <c r="A63" s="12"/>
      <c r="B63" s="13"/>
      <c r="C63" t="s" s="38">
        <v>146</v>
      </c>
      <c r="D63" s="39">
        <v>0</v>
      </c>
      <c r="E63" s="39">
        <v>1</v>
      </c>
      <c r="F63" s="39">
        <v>0</v>
      </c>
      <c r="G63" s="39">
        <v>0</v>
      </c>
      <c r="H63" s="39">
        <v>0</v>
      </c>
    </row>
    <row r="64" ht="20.05" customHeight="1">
      <c r="A64" s="12"/>
      <c r="B64" s="13"/>
      <c r="C64" t="s" s="38">
        <v>147</v>
      </c>
      <c r="D64" s="39">
        <v>0</v>
      </c>
      <c r="E64" s="39">
        <v>1</v>
      </c>
      <c r="F64" s="39">
        <v>0</v>
      </c>
      <c r="G64" s="39">
        <v>0</v>
      </c>
      <c r="H64" s="39">
        <v>0</v>
      </c>
    </row>
    <row r="65" ht="20.05" customHeight="1">
      <c r="A65" s="12"/>
      <c r="B65" t="s" s="37">
        <v>148</v>
      </c>
      <c r="C65" t="s" s="38">
        <v>148</v>
      </c>
      <c r="D65" s="39">
        <v>0</v>
      </c>
      <c r="E65" s="39">
        <v>20</v>
      </c>
      <c r="F65" s="39">
        <v>0</v>
      </c>
      <c r="G65" s="39">
        <v>0</v>
      </c>
      <c r="H65" s="39">
        <v>0</v>
      </c>
    </row>
    <row r="66" ht="20.05" customHeight="1">
      <c r="A66" s="12"/>
      <c r="B66" s="13"/>
      <c r="C66" t="s" s="38">
        <v>149</v>
      </c>
      <c r="D66" s="39">
        <v>0</v>
      </c>
      <c r="E66" s="39">
        <v>3</v>
      </c>
      <c r="F66" s="39">
        <v>0</v>
      </c>
      <c r="G66" s="39">
        <v>0</v>
      </c>
      <c r="H66" s="39">
        <v>0</v>
      </c>
    </row>
    <row r="67" ht="20.05" customHeight="1">
      <c r="A67" s="12"/>
      <c r="B67" s="13"/>
      <c r="C67" t="s" s="38">
        <v>150</v>
      </c>
      <c r="D67" s="39">
        <v>0</v>
      </c>
      <c r="E67" s="39">
        <v>4</v>
      </c>
      <c r="F67" s="39">
        <v>0</v>
      </c>
      <c r="G67" s="39">
        <v>0</v>
      </c>
      <c r="H67" s="39">
        <v>0</v>
      </c>
    </row>
    <row r="68" ht="20.05" customHeight="1">
      <c r="A68" t="s" s="40">
        <v>542</v>
      </c>
      <c r="B68" t="s" s="41">
        <v>612</v>
      </c>
      <c r="C68" t="s" s="42">
        <v>159</v>
      </c>
      <c r="D68" s="43">
        <v>0</v>
      </c>
      <c r="E68" s="43">
        <v>3</v>
      </c>
      <c r="F68" s="43">
        <v>4</v>
      </c>
      <c r="G68" s="43">
        <v>0</v>
      </c>
      <c r="H68" s="43">
        <v>1</v>
      </c>
    </row>
    <row r="69" ht="32.05" customHeight="1">
      <c r="A69" s="12"/>
      <c r="B69" s="13"/>
      <c r="C69" t="s" s="42">
        <v>160</v>
      </c>
      <c r="D69" s="43">
        <v>1</v>
      </c>
      <c r="E69" s="43">
        <v>3</v>
      </c>
      <c r="F69" s="43">
        <v>4</v>
      </c>
      <c r="G69" s="43">
        <v>0</v>
      </c>
      <c r="H69" s="43">
        <v>0</v>
      </c>
    </row>
    <row r="70" ht="20.05" customHeight="1">
      <c r="A70" s="12"/>
      <c r="B70" s="13"/>
      <c r="C70" t="s" s="42">
        <v>161</v>
      </c>
      <c r="D70" s="43">
        <v>1</v>
      </c>
      <c r="E70" s="43">
        <v>2</v>
      </c>
      <c r="F70" s="43">
        <v>10</v>
      </c>
      <c r="G70" s="43">
        <v>0</v>
      </c>
      <c r="H70" s="43">
        <v>0</v>
      </c>
    </row>
    <row r="71" ht="20.05" customHeight="1">
      <c r="A71" s="12"/>
      <c r="B71" s="13"/>
      <c r="C71" t="s" s="42">
        <v>162</v>
      </c>
      <c r="D71" s="43">
        <v>1</v>
      </c>
      <c r="E71" s="43">
        <v>1</v>
      </c>
      <c r="F71" s="43">
        <v>3</v>
      </c>
      <c r="G71" s="43">
        <v>0</v>
      </c>
      <c r="H71" s="43">
        <v>0</v>
      </c>
    </row>
    <row r="72" ht="20.05" customHeight="1">
      <c r="A72" s="12"/>
      <c r="B72" s="13"/>
      <c r="C72" t="s" s="42">
        <v>163</v>
      </c>
      <c r="D72" s="43">
        <v>1</v>
      </c>
      <c r="E72" s="43">
        <v>1</v>
      </c>
      <c r="F72" s="43">
        <v>2</v>
      </c>
      <c r="G72" s="43">
        <v>0</v>
      </c>
      <c r="H72" s="43">
        <v>0</v>
      </c>
    </row>
    <row r="73" ht="20.05" customHeight="1">
      <c r="A73" s="12"/>
      <c r="B73" s="13"/>
      <c r="C73" t="s" s="42">
        <v>164</v>
      </c>
      <c r="D73" s="43">
        <v>0</v>
      </c>
      <c r="E73" s="43">
        <v>2</v>
      </c>
      <c r="F73" s="43">
        <v>3</v>
      </c>
      <c r="G73" s="43">
        <v>1</v>
      </c>
      <c r="H73" s="43">
        <v>0</v>
      </c>
    </row>
    <row r="74" ht="20.05" customHeight="1">
      <c r="A74" s="12"/>
      <c r="B74" s="13"/>
      <c r="C74" t="s" s="42">
        <v>165</v>
      </c>
      <c r="D74" s="43">
        <v>1</v>
      </c>
      <c r="E74" s="43">
        <v>2</v>
      </c>
      <c r="F74" s="43">
        <v>5</v>
      </c>
      <c r="G74" s="43">
        <v>0</v>
      </c>
      <c r="H74" s="43">
        <v>1</v>
      </c>
    </row>
    <row r="75" ht="20.05" customHeight="1">
      <c r="A75" s="12"/>
      <c r="B75" s="13"/>
      <c r="C75" t="s" s="42">
        <v>613</v>
      </c>
      <c r="D75" s="43">
        <v>0</v>
      </c>
      <c r="E75" s="43">
        <v>4</v>
      </c>
      <c r="F75" s="43">
        <v>1</v>
      </c>
      <c r="G75" s="43">
        <v>0</v>
      </c>
      <c r="H75" s="43">
        <v>0</v>
      </c>
    </row>
    <row r="76" ht="32.05" customHeight="1">
      <c r="A76" s="12"/>
      <c r="B76" s="13"/>
      <c r="C76" t="s" s="42">
        <v>180</v>
      </c>
      <c r="D76" s="43">
        <v>0</v>
      </c>
      <c r="E76" s="43">
        <v>0</v>
      </c>
      <c r="F76" s="43">
        <v>2</v>
      </c>
      <c r="G76" s="43">
        <v>0</v>
      </c>
      <c r="H76" s="43">
        <v>0</v>
      </c>
    </row>
    <row r="77" ht="32.05" customHeight="1">
      <c r="A77" s="12"/>
      <c r="B77" s="13"/>
      <c r="C77" t="s" s="42">
        <v>181</v>
      </c>
      <c r="D77" s="43">
        <v>0</v>
      </c>
      <c r="E77" s="43">
        <v>0</v>
      </c>
      <c r="F77" s="43">
        <v>1</v>
      </c>
      <c r="G77" s="43">
        <v>0</v>
      </c>
      <c r="H77" s="43">
        <v>0</v>
      </c>
    </row>
    <row r="78" ht="20.05" customHeight="1">
      <c r="A78" s="12"/>
      <c r="B78" s="13"/>
      <c r="C78" t="s" s="42">
        <v>182</v>
      </c>
      <c r="D78" s="43">
        <v>0</v>
      </c>
      <c r="E78" s="43">
        <v>6</v>
      </c>
      <c r="F78" s="43">
        <v>2</v>
      </c>
      <c r="G78" s="43">
        <v>0</v>
      </c>
      <c r="H78" s="43">
        <v>0</v>
      </c>
    </row>
    <row r="79" ht="20.05" customHeight="1">
      <c r="A79" s="12"/>
      <c r="B79" t="s" s="41">
        <v>545</v>
      </c>
      <c r="C79" t="s" s="42">
        <v>187</v>
      </c>
      <c r="D79" s="43">
        <v>1</v>
      </c>
      <c r="E79" s="43">
        <v>4</v>
      </c>
      <c r="F79" s="43">
        <v>0</v>
      </c>
      <c r="G79" s="43">
        <v>0</v>
      </c>
      <c r="H79" s="43">
        <v>0</v>
      </c>
    </row>
    <row r="80" ht="20.05" customHeight="1">
      <c r="A80" s="12"/>
      <c r="B80" s="13"/>
      <c r="C80" t="s" s="42">
        <v>188</v>
      </c>
      <c r="D80" s="43">
        <v>1</v>
      </c>
      <c r="E80" s="43">
        <v>4</v>
      </c>
      <c r="F80" s="43">
        <v>0</v>
      </c>
      <c r="G80" s="43">
        <v>0</v>
      </c>
      <c r="H80" s="43">
        <v>0</v>
      </c>
    </row>
    <row r="81" ht="20.05" customHeight="1">
      <c r="A81" s="12"/>
      <c r="B81" s="13"/>
      <c r="C81" t="s" s="42">
        <v>189</v>
      </c>
      <c r="D81" s="43">
        <v>0</v>
      </c>
      <c r="E81" s="43">
        <v>1</v>
      </c>
      <c r="F81" s="43">
        <v>2</v>
      </c>
      <c r="G81" s="43">
        <v>0</v>
      </c>
      <c r="H81" s="43">
        <v>0</v>
      </c>
    </row>
    <row r="82" ht="20.05" customHeight="1">
      <c r="A82" s="12"/>
      <c r="B82" s="13"/>
      <c r="C82" t="s" s="42">
        <v>190</v>
      </c>
      <c r="D82" s="43">
        <v>0</v>
      </c>
      <c r="E82" s="43">
        <v>8</v>
      </c>
      <c r="F82" s="43">
        <v>2</v>
      </c>
      <c r="G82" s="43">
        <v>0</v>
      </c>
      <c r="H82" s="43">
        <v>0</v>
      </c>
    </row>
    <row r="83" ht="20.05" customHeight="1">
      <c r="A83" s="12"/>
      <c r="B83" t="s" s="41">
        <v>614</v>
      </c>
      <c r="C83" t="s" s="42">
        <v>168</v>
      </c>
      <c r="D83" s="43">
        <v>0</v>
      </c>
      <c r="E83" s="43">
        <v>0</v>
      </c>
      <c r="F83" s="43">
        <v>2</v>
      </c>
      <c r="G83" s="43">
        <v>0</v>
      </c>
      <c r="H83" s="43">
        <v>0</v>
      </c>
    </row>
    <row r="84" ht="20.05" customHeight="1">
      <c r="A84" s="12"/>
      <c r="B84" s="13"/>
      <c r="C84" t="s" s="42">
        <v>186</v>
      </c>
      <c r="D84" s="43">
        <v>1</v>
      </c>
      <c r="E84" s="43">
        <v>0</v>
      </c>
      <c r="F84" s="43">
        <v>2</v>
      </c>
      <c r="G84" s="43">
        <v>0</v>
      </c>
      <c r="H84" s="43">
        <v>0</v>
      </c>
    </row>
    <row r="85" ht="20.05" customHeight="1">
      <c r="A85" s="12"/>
      <c r="B85" s="13"/>
      <c r="C85" t="s" s="42">
        <v>166</v>
      </c>
      <c r="D85" s="43">
        <v>0</v>
      </c>
      <c r="E85" s="43">
        <v>2</v>
      </c>
      <c r="F85" s="43">
        <v>3</v>
      </c>
      <c r="G85" s="43">
        <v>0</v>
      </c>
      <c r="H85" s="43">
        <v>0</v>
      </c>
    </row>
    <row r="86" ht="20.05" customHeight="1">
      <c r="A86" s="12"/>
      <c r="B86" t="s" s="41">
        <v>615</v>
      </c>
      <c r="C86" t="s" s="42">
        <v>170</v>
      </c>
      <c r="D86" s="43">
        <v>0</v>
      </c>
      <c r="E86" s="43">
        <v>2</v>
      </c>
      <c r="F86" s="43">
        <v>2</v>
      </c>
      <c r="G86" s="43">
        <v>0</v>
      </c>
      <c r="H86" s="43">
        <v>1</v>
      </c>
    </row>
    <row r="87" ht="20.05" customHeight="1">
      <c r="A87" s="12"/>
      <c r="B87" s="13"/>
      <c r="C87" t="s" s="42">
        <v>171</v>
      </c>
      <c r="D87" s="43">
        <v>1</v>
      </c>
      <c r="E87" s="43">
        <v>3</v>
      </c>
      <c r="F87" s="43">
        <v>2</v>
      </c>
      <c r="G87" s="43">
        <v>0</v>
      </c>
      <c r="H87" s="43">
        <v>0</v>
      </c>
    </row>
    <row r="88" ht="20.05" customHeight="1">
      <c r="A88" s="12"/>
      <c r="B88" s="13"/>
      <c r="C88" t="s" s="42">
        <v>172</v>
      </c>
      <c r="D88" s="43">
        <v>1</v>
      </c>
      <c r="E88" s="43">
        <v>2</v>
      </c>
      <c r="F88" s="43">
        <v>4</v>
      </c>
      <c r="G88" s="43">
        <v>0</v>
      </c>
      <c r="H88" s="43">
        <v>0</v>
      </c>
    </row>
    <row r="89" ht="20.05" customHeight="1">
      <c r="A89" s="12"/>
      <c r="B89" s="13"/>
      <c r="C89" t="s" s="42">
        <v>173</v>
      </c>
      <c r="D89" s="43">
        <v>0</v>
      </c>
      <c r="E89" s="43">
        <v>1</v>
      </c>
      <c r="F89" s="43">
        <v>3</v>
      </c>
      <c r="G89" s="43">
        <v>0</v>
      </c>
      <c r="H89" s="43">
        <v>0</v>
      </c>
    </row>
    <row r="90" ht="20.05" customHeight="1">
      <c r="A90" s="12"/>
      <c r="B90" s="13"/>
      <c r="C90" t="s" s="42">
        <v>174</v>
      </c>
      <c r="D90" s="43">
        <v>0</v>
      </c>
      <c r="E90" s="43">
        <v>3</v>
      </c>
      <c r="F90" s="43">
        <v>0</v>
      </c>
      <c r="G90" s="43">
        <v>0</v>
      </c>
      <c r="H90" s="43">
        <v>0</v>
      </c>
    </row>
    <row r="91" ht="20.05" customHeight="1">
      <c r="A91" s="12"/>
      <c r="B91" s="13"/>
      <c r="C91" t="s" s="42">
        <v>192</v>
      </c>
      <c r="D91" s="43">
        <v>0</v>
      </c>
      <c r="E91" s="43">
        <v>3</v>
      </c>
      <c r="F91" s="43">
        <v>4</v>
      </c>
      <c r="G91" s="43">
        <v>0</v>
      </c>
      <c r="H91" s="43">
        <v>0</v>
      </c>
    </row>
    <row r="92" ht="20.95" customHeight="1">
      <c r="A92" t="s" s="44">
        <v>199</v>
      </c>
      <c r="B92" t="s" s="45">
        <v>200</v>
      </c>
      <c r="C92" t="s" s="46">
        <v>201</v>
      </c>
      <c r="D92" s="47">
        <v>0</v>
      </c>
      <c r="E92" s="47">
        <v>2</v>
      </c>
      <c r="F92" s="47">
        <v>2</v>
      </c>
      <c r="G92" s="47">
        <v>0</v>
      </c>
      <c r="H92" s="47">
        <v>0</v>
      </c>
    </row>
    <row r="93" ht="20.95" customHeight="1">
      <c r="A93" s="12"/>
      <c r="B93" s="13"/>
      <c r="C93" t="s" s="46">
        <v>202</v>
      </c>
      <c r="D93" s="47">
        <v>0</v>
      </c>
      <c r="E93" s="47">
        <v>11</v>
      </c>
      <c r="F93" s="47">
        <v>3</v>
      </c>
      <c r="G93" s="47">
        <v>0</v>
      </c>
      <c r="H93" s="47">
        <v>0</v>
      </c>
    </row>
    <row r="94" ht="20.95" customHeight="1">
      <c r="A94" s="12"/>
      <c r="B94" s="13"/>
      <c r="C94" t="s" s="46">
        <v>203</v>
      </c>
      <c r="D94" s="47">
        <v>0</v>
      </c>
      <c r="E94" s="47">
        <v>1</v>
      </c>
      <c r="F94" s="47">
        <v>0</v>
      </c>
      <c r="G94" s="47">
        <v>0</v>
      </c>
      <c r="H94" s="47">
        <v>0</v>
      </c>
    </row>
    <row r="95" ht="20.95" customHeight="1">
      <c r="A95" s="12"/>
      <c r="B95" s="13"/>
      <c r="C95" t="s" s="48">
        <v>204</v>
      </c>
      <c r="D95" s="47">
        <v>0</v>
      </c>
      <c r="E95" s="47">
        <v>30</v>
      </c>
      <c r="F95" s="47">
        <v>3</v>
      </c>
      <c r="G95" s="47">
        <v>0</v>
      </c>
      <c r="H95" s="47">
        <v>0</v>
      </c>
    </row>
    <row r="96" ht="20.95" customHeight="1">
      <c r="A96" s="12"/>
      <c r="B96" s="13"/>
      <c r="C96" t="s" s="46">
        <v>205</v>
      </c>
      <c r="D96" s="47">
        <v>0</v>
      </c>
      <c r="E96" s="47">
        <v>3</v>
      </c>
      <c r="F96" s="47">
        <v>6</v>
      </c>
      <c r="G96" s="47">
        <v>0</v>
      </c>
      <c r="H96" s="47">
        <v>0</v>
      </c>
    </row>
    <row r="97" ht="20.95" customHeight="1">
      <c r="A97" s="12"/>
      <c r="B97" t="s" s="45">
        <v>206</v>
      </c>
      <c r="C97" t="s" s="49">
        <v>206</v>
      </c>
      <c r="D97" s="47">
        <v>1</v>
      </c>
      <c r="E97" s="47">
        <v>2</v>
      </c>
      <c r="F97" s="47">
        <v>2</v>
      </c>
      <c r="G97" s="47">
        <v>0</v>
      </c>
      <c r="H97" s="47">
        <v>0</v>
      </c>
    </row>
    <row r="98" ht="20.95" customHeight="1">
      <c r="A98" s="12"/>
      <c r="B98" t="s" s="45">
        <v>209</v>
      </c>
      <c r="C98" t="s" s="46">
        <v>210</v>
      </c>
      <c r="D98" s="47">
        <v>0</v>
      </c>
      <c r="E98" s="47">
        <v>1</v>
      </c>
      <c r="F98" s="47">
        <v>3</v>
      </c>
      <c r="G98" s="47">
        <v>0</v>
      </c>
      <c r="H98" s="47">
        <v>1</v>
      </c>
    </row>
    <row r="99" ht="20.95" customHeight="1">
      <c r="A99" s="12"/>
      <c r="B99" s="13"/>
      <c r="C99" t="s" s="46">
        <v>211</v>
      </c>
      <c r="D99" s="47">
        <v>1</v>
      </c>
      <c r="E99" s="47">
        <v>2</v>
      </c>
      <c r="F99" s="47">
        <v>2</v>
      </c>
      <c r="G99" s="47">
        <v>0</v>
      </c>
      <c r="H99" s="47">
        <v>0</v>
      </c>
    </row>
    <row r="100" ht="20.95" customHeight="1">
      <c r="A100" s="12"/>
      <c r="B100" t="s" s="45">
        <v>212</v>
      </c>
      <c r="C100" t="s" s="49">
        <v>212</v>
      </c>
      <c r="D100" s="47">
        <v>0</v>
      </c>
      <c r="E100" s="47">
        <v>1</v>
      </c>
      <c r="F100" s="47">
        <v>1</v>
      </c>
      <c r="G100" s="47">
        <v>0</v>
      </c>
      <c r="H100" s="47">
        <v>0</v>
      </c>
    </row>
    <row r="101" ht="20.95" customHeight="1">
      <c r="A101" s="12"/>
      <c r="B101" t="s" s="45">
        <v>213</v>
      </c>
      <c r="C101" t="s" s="46">
        <v>214</v>
      </c>
      <c r="D101" s="47">
        <v>0</v>
      </c>
      <c r="E101" s="47">
        <v>0</v>
      </c>
      <c r="F101" s="47">
        <v>2</v>
      </c>
      <c r="G101" s="47">
        <v>0</v>
      </c>
      <c r="H101" s="47">
        <v>0</v>
      </c>
    </row>
    <row r="102" ht="20.95" customHeight="1">
      <c r="A102" s="12"/>
      <c r="B102" s="13"/>
      <c r="C102" t="s" s="46">
        <v>215</v>
      </c>
      <c r="D102" s="47">
        <v>0</v>
      </c>
      <c r="E102" s="47">
        <v>1</v>
      </c>
      <c r="F102" s="47">
        <v>0</v>
      </c>
      <c r="G102" s="47">
        <v>0</v>
      </c>
      <c r="H102" s="47">
        <v>0</v>
      </c>
    </row>
    <row r="103" ht="20.95" customHeight="1">
      <c r="A103" s="12"/>
      <c r="B103" t="s" s="45">
        <v>216</v>
      </c>
      <c r="C103" t="s" s="49">
        <v>217</v>
      </c>
      <c r="D103" s="47">
        <v>0</v>
      </c>
      <c r="E103" s="47">
        <v>6</v>
      </c>
      <c r="F103" s="47">
        <v>1</v>
      </c>
      <c r="G103" s="47">
        <v>0</v>
      </c>
      <c r="H103" s="47">
        <v>0</v>
      </c>
    </row>
    <row r="104" ht="20.95" customHeight="1">
      <c r="A104" s="12"/>
      <c r="B104" s="13"/>
      <c r="C104" t="s" s="49">
        <v>218</v>
      </c>
      <c r="D104" s="47">
        <v>0</v>
      </c>
      <c r="E104" s="47">
        <v>5</v>
      </c>
      <c r="F104" s="47">
        <v>3</v>
      </c>
      <c r="G104" s="47">
        <v>0</v>
      </c>
      <c r="H104" s="47">
        <v>0</v>
      </c>
    </row>
    <row r="105" ht="20.95" customHeight="1">
      <c r="A105" s="12"/>
      <c r="B105" s="13"/>
      <c r="C105" t="s" s="49">
        <v>219</v>
      </c>
      <c r="D105" s="47">
        <v>0</v>
      </c>
      <c r="E105" s="47">
        <v>8</v>
      </c>
      <c r="F105" s="47">
        <v>3</v>
      </c>
      <c r="G105" s="47">
        <v>0</v>
      </c>
      <c r="H105" s="47">
        <v>0</v>
      </c>
    </row>
    <row r="106" ht="20.95" customHeight="1">
      <c r="A106" s="12"/>
      <c r="B106" s="13"/>
      <c r="C106" t="s" s="49">
        <v>220</v>
      </c>
      <c r="D106" s="47">
        <v>0</v>
      </c>
      <c r="E106" s="47">
        <v>2</v>
      </c>
      <c r="F106" s="47">
        <v>2</v>
      </c>
      <c r="G106" s="47">
        <v>0</v>
      </c>
      <c r="H106" s="47">
        <v>0</v>
      </c>
    </row>
    <row r="107" ht="20.95" customHeight="1">
      <c r="A107" s="12"/>
      <c r="B107" s="13"/>
      <c r="C107" t="s" s="49">
        <v>221</v>
      </c>
      <c r="D107" s="47">
        <v>0</v>
      </c>
      <c r="E107" s="47">
        <v>9</v>
      </c>
      <c r="F107" s="47">
        <v>6</v>
      </c>
      <c r="G107" s="47">
        <v>0</v>
      </c>
      <c r="H107" s="47">
        <v>0</v>
      </c>
    </row>
    <row r="108" ht="21.8" customHeight="1">
      <c r="A108" s="12"/>
      <c r="B108" s="13"/>
      <c r="C108" t="s" s="49">
        <v>222</v>
      </c>
      <c r="D108" s="47">
        <v>0</v>
      </c>
      <c r="E108" s="47">
        <v>3</v>
      </c>
      <c r="F108" s="47">
        <v>1</v>
      </c>
      <c r="G108" s="47">
        <v>0</v>
      </c>
      <c r="H108" s="47">
        <v>0</v>
      </c>
    </row>
    <row r="109" ht="20.95" customHeight="1">
      <c r="A109" s="12"/>
      <c r="B109" s="13"/>
      <c r="C109" t="s" s="49">
        <v>223</v>
      </c>
      <c r="D109" s="47">
        <v>0</v>
      </c>
      <c r="E109" s="47">
        <v>2</v>
      </c>
      <c r="F109" s="47">
        <v>1</v>
      </c>
      <c r="G109" s="47">
        <v>0</v>
      </c>
      <c r="H109" s="47">
        <v>0</v>
      </c>
    </row>
    <row r="110" ht="20.95" customHeight="1">
      <c r="A110" s="12"/>
      <c r="B110" t="s" s="45">
        <v>226</v>
      </c>
      <c r="C110" t="s" s="49">
        <v>226</v>
      </c>
      <c r="D110" s="47">
        <v>0</v>
      </c>
      <c r="E110" s="47">
        <v>2</v>
      </c>
      <c r="F110" s="47">
        <v>1</v>
      </c>
      <c r="G110" s="47">
        <v>0</v>
      </c>
      <c r="H110" s="47">
        <v>0</v>
      </c>
    </row>
    <row r="111" ht="20.95" customHeight="1">
      <c r="A111" s="12"/>
      <c r="B111" t="s" s="45">
        <v>227</v>
      </c>
      <c r="C111" t="s" s="49">
        <v>227</v>
      </c>
      <c r="D111" s="47">
        <v>0</v>
      </c>
      <c r="E111" s="47">
        <v>3</v>
      </c>
      <c r="F111" s="47">
        <v>0</v>
      </c>
      <c r="G111" s="47">
        <v>0</v>
      </c>
      <c r="H111" s="47">
        <v>0</v>
      </c>
    </row>
    <row r="112" ht="21.35" customHeight="1">
      <c r="A112" t="s" s="50">
        <v>551</v>
      </c>
      <c r="B112" t="s" s="112">
        <v>616</v>
      </c>
      <c r="C112" t="s" s="52">
        <v>617</v>
      </c>
      <c r="D112" s="53">
        <v>0</v>
      </c>
      <c r="E112" s="53">
        <v>9</v>
      </c>
      <c r="F112" s="53">
        <v>0</v>
      </c>
      <c r="G112" s="53">
        <v>0</v>
      </c>
      <c r="H112" s="53">
        <v>0</v>
      </c>
    </row>
    <row r="113" ht="21.35" customHeight="1">
      <c r="A113" s="12"/>
      <c r="B113" t="s" s="112">
        <v>618</v>
      </c>
      <c r="C113" t="s" s="52">
        <v>618</v>
      </c>
      <c r="D113" s="53">
        <v>0</v>
      </c>
      <c r="E113" s="53">
        <v>1</v>
      </c>
      <c r="F113" s="53">
        <v>0</v>
      </c>
      <c r="G113" s="53">
        <v>0</v>
      </c>
      <c r="H113" s="53">
        <v>0</v>
      </c>
    </row>
    <row r="114" ht="20.05" customHeight="1">
      <c r="A114" s="12"/>
      <c r="B114" t="s" s="112">
        <v>619</v>
      </c>
      <c r="C114" t="s" s="52">
        <v>620</v>
      </c>
      <c r="D114" s="53">
        <v>0</v>
      </c>
      <c r="E114" s="53">
        <v>17</v>
      </c>
      <c r="F114" s="53">
        <v>0</v>
      </c>
      <c r="G114" s="53">
        <v>0</v>
      </c>
      <c r="H114" s="53">
        <v>0</v>
      </c>
    </row>
    <row r="115" ht="20.05" customHeight="1">
      <c r="A115" s="12"/>
      <c r="B115" s="13"/>
      <c r="C115" t="s" s="52">
        <v>621</v>
      </c>
      <c r="D115" s="53">
        <v>0</v>
      </c>
      <c r="E115" s="53">
        <v>2</v>
      </c>
      <c r="F115" s="53">
        <v>0</v>
      </c>
      <c r="G115" s="53">
        <v>0</v>
      </c>
      <c r="H115" s="53">
        <v>0</v>
      </c>
    </row>
    <row r="116" ht="20.05" customHeight="1">
      <c r="A116" t="s" s="26">
        <v>266</v>
      </c>
      <c r="B116" t="s" s="55">
        <v>308</v>
      </c>
      <c r="C116" t="s" s="28">
        <v>309</v>
      </c>
      <c r="D116" s="29">
        <v>0</v>
      </c>
      <c r="E116" s="29">
        <v>4</v>
      </c>
      <c r="F116" s="29">
        <v>1</v>
      </c>
      <c r="G116" s="29">
        <v>0</v>
      </c>
      <c r="H116" s="29">
        <v>0</v>
      </c>
    </row>
    <row r="117" ht="20.05" customHeight="1">
      <c r="A117" s="12"/>
      <c r="B117" s="13"/>
      <c r="C117" t="s" s="28">
        <v>310</v>
      </c>
      <c r="D117" s="29">
        <v>0</v>
      </c>
      <c r="E117" s="29">
        <v>1</v>
      </c>
      <c r="F117" s="29">
        <v>1</v>
      </c>
      <c r="G117" s="29">
        <v>0</v>
      </c>
      <c r="H117" s="29">
        <v>0</v>
      </c>
    </row>
    <row r="118" ht="20.05" customHeight="1">
      <c r="A118" s="12"/>
      <c r="B118" s="13"/>
      <c r="C118" t="s" s="28">
        <v>289</v>
      </c>
      <c r="D118" s="29">
        <v>0</v>
      </c>
      <c r="E118" s="29">
        <v>6</v>
      </c>
      <c r="F118" s="29">
        <v>4</v>
      </c>
      <c r="G118" s="29">
        <v>0</v>
      </c>
      <c r="H118" s="29">
        <v>0</v>
      </c>
    </row>
    <row r="119" ht="20.05" customHeight="1">
      <c r="A119" s="12"/>
      <c r="B119" s="13"/>
      <c r="C119" t="s" s="28">
        <v>561</v>
      </c>
      <c r="D119" s="29">
        <v>0</v>
      </c>
      <c r="E119" s="29">
        <v>1</v>
      </c>
      <c r="F119" s="29">
        <v>0</v>
      </c>
      <c r="G119" s="29">
        <v>0</v>
      </c>
      <c r="H119" s="29">
        <v>0</v>
      </c>
    </row>
    <row r="120" ht="20.05" customHeight="1">
      <c r="A120" s="12"/>
      <c r="B120" t="s" s="55">
        <v>267</v>
      </c>
      <c r="C120" t="s" s="28">
        <v>268</v>
      </c>
      <c r="D120" s="29">
        <v>0</v>
      </c>
      <c r="E120" s="29">
        <v>6</v>
      </c>
      <c r="F120" s="29">
        <v>4</v>
      </c>
      <c r="G120" s="29">
        <v>0</v>
      </c>
      <c r="H120" s="29">
        <v>1</v>
      </c>
    </row>
    <row r="121" ht="20.05" customHeight="1">
      <c r="A121" s="12"/>
      <c r="B121" s="13"/>
      <c r="C121" t="s" s="28">
        <v>269</v>
      </c>
      <c r="D121" s="29">
        <v>0</v>
      </c>
      <c r="E121" s="29">
        <v>20</v>
      </c>
      <c r="F121" s="29">
        <v>5</v>
      </c>
      <c r="G121" s="29">
        <v>0</v>
      </c>
      <c r="H121" s="29">
        <v>0</v>
      </c>
    </row>
    <row r="122" ht="20.05" customHeight="1">
      <c r="A122" s="12"/>
      <c r="B122" s="13"/>
      <c r="C122" t="s" s="28">
        <v>270</v>
      </c>
      <c r="D122" s="29">
        <v>0</v>
      </c>
      <c r="E122" s="29">
        <v>7</v>
      </c>
      <c r="F122" s="29">
        <v>2</v>
      </c>
      <c r="G122" s="29">
        <v>0</v>
      </c>
      <c r="H122" s="29">
        <v>0</v>
      </c>
    </row>
    <row r="123" ht="20.05" customHeight="1">
      <c r="A123" s="12"/>
      <c r="B123" t="s" s="55">
        <v>271</v>
      </c>
      <c r="C123" t="s" s="28">
        <v>622</v>
      </c>
      <c r="D123" s="29">
        <v>0</v>
      </c>
      <c r="E123" s="29">
        <v>6</v>
      </c>
      <c r="F123" s="29">
        <v>4</v>
      </c>
      <c r="G123" s="29">
        <v>1</v>
      </c>
      <c r="H123" s="29">
        <v>0</v>
      </c>
    </row>
    <row r="124" ht="20.05" customHeight="1">
      <c r="A124" s="12"/>
      <c r="B124" s="13"/>
      <c r="C124" t="s" s="28">
        <v>273</v>
      </c>
      <c r="D124" s="29">
        <v>1</v>
      </c>
      <c r="E124" s="29">
        <v>8</v>
      </c>
      <c r="F124" s="29">
        <v>3</v>
      </c>
      <c r="G124" s="29">
        <v>0</v>
      </c>
      <c r="H124" s="29">
        <v>1</v>
      </c>
    </row>
    <row r="125" ht="20.05" customHeight="1">
      <c r="A125" s="12"/>
      <c r="B125" s="13"/>
      <c r="C125" t="s" s="28">
        <v>274</v>
      </c>
      <c r="D125" s="29">
        <v>0</v>
      </c>
      <c r="E125" s="29">
        <v>11</v>
      </c>
      <c r="F125" s="29">
        <v>5</v>
      </c>
      <c r="G125" s="29">
        <v>1</v>
      </c>
      <c r="H125" s="29">
        <v>0</v>
      </c>
    </row>
    <row r="126" ht="20.05" customHeight="1">
      <c r="A126" s="12"/>
      <c r="B126" s="13"/>
      <c r="C126" t="s" s="28">
        <v>275</v>
      </c>
      <c r="D126" s="29">
        <v>0</v>
      </c>
      <c r="E126" s="29">
        <v>12</v>
      </c>
      <c r="F126" s="29">
        <v>3</v>
      </c>
      <c r="G126" s="29">
        <v>0</v>
      </c>
      <c r="H126" s="29">
        <v>0</v>
      </c>
    </row>
    <row r="127" ht="20.05" customHeight="1">
      <c r="A127" s="12"/>
      <c r="B127" t="s" s="55">
        <v>276</v>
      </c>
      <c r="C127" t="s" s="28">
        <v>277</v>
      </c>
      <c r="D127" s="29">
        <v>0</v>
      </c>
      <c r="E127" s="29">
        <v>1</v>
      </c>
      <c r="F127" s="29">
        <v>6</v>
      </c>
      <c r="G127" s="29">
        <v>0</v>
      </c>
      <c r="H127" s="29">
        <v>0</v>
      </c>
    </row>
    <row r="128" ht="20.05" customHeight="1">
      <c r="A128" s="12"/>
      <c r="B128" s="13"/>
      <c r="C128" t="s" s="28">
        <v>278</v>
      </c>
      <c r="D128" s="29">
        <v>0</v>
      </c>
      <c r="E128" s="29">
        <v>4</v>
      </c>
      <c r="F128" s="29">
        <v>1</v>
      </c>
      <c r="G128" s="29">
        <v>0</v>
      </c>
      <c r="H128" s="29">
        <v>0</v>
      </c>
    </row>
    <row r="129" ht="20.05" customHeight="1">
      <c r="A129" s="12"/>
      <c r="B129" s="13"/>
      <c r="C129" t="s" s="28">
        <v>623</v>
      </c>
      <c r="D129" s="29">
        <v>0</v>
      </c>
      <c r="E129" s="29">
        <v>1</v>
      </c>
      <c r="F129" s="29">
        <v>0</v>
      </c>
      <c r="G129" s="29">
        <v>0</v>
      </c>
      <c r="H129" s="29">
        <v>0</v>
      </c>
    </row>
    <row r="130" ht="20.05" customHeight="1">
      <c r="A130" s="12"/>
      <c r="B130" s="13"/>
      <c r="C130" t="s" s="28">
        <v>292</v>
      </c>
      <c r="D130" s="29">
        <v>0</v>
      </c>
      <c r="E130" s="29">
        <v>3</v>
      </c>
      <c r="F130" s="29">
        <v>3</v>
      </c>
      <c r="G130" s="29">
        <v>0</v>
      </c>
      <c r="H130" s="29">
        <v>0</v>
      </c>
    </row>
    <row r="131" ht="20.05" customHeight="1">
      <c r="A131" s="12"/>
      <c r="B131" s="13"/>
      <c r="C131" t="s" s="28">
        <v>624</v>
      </c>
      <c r="D131" s="29">
        <v>0</v>
      </c>
      <c r="E131" s="29">
        <v>1</v>
      </c>
      <c r="F131" s="29">
        <v>0</v>
      </c>
      <c r="G131" s="29">
        <v>0</v>
      </c>
      <c r="H131" s="29">
        <v>0</v>
      </c>
    </row>
    <row r="132" ht="20.05" customHeight="1">
      <c r="A132" s="12"/>
      <c r="B132" t="s" s="55">
        <v>280</v>
      </c>
      <c r="C132" t="s" s="28">
        <v>281</v>
      </c>
      <c r="D132" s="29">
        <v>1</v>
      </c>
      <c r="E132" s="29">
        <v>5</v>
      </c>
      <c r="F132" s="29">
        <v>4</v>
      </c>
      <c r="G132" s="29">
        <v>0</v>
      </c>
      <c r="H132" s="29">
        <v>1</v>
      </c>
    </row>
    <row r="133" ht="20.05" customHeight="1">
      <c r="A133" s="12"/>
      <c r="B133" s="13"/>
      <c r="C133" t="s" s="28">
        <v>282</v>
      </c>
      <c r="D133" s="29">
        <v>0</v>
      </c>
      <c r="E133" s="29">
        <v>6</v>
      </c>
      <c r="F133" s="29">
        <v>5</v>
      </c>
      <c r="G133" s="29">
        <v>0</v>
      </c>
      <c r="H133" s="29">
        <v>0</v>
      </c>
    </row>
    <row r="134" ht="20.05" customHeight="1">
      <c r="A134" s="12"/>
      <c r="B134" s="13"/>
      <c r="C134" t="s" s="28">
        <v>283</v>
      </c>
      <c r="D134" s="29">
        <v>0</v>
      </c>
      <c r="E134" s="29">
        <v>5</v>
      </c>
      <c r="F134" s="29">
        <v>3</v>
      </c>
      <c r="G134" s="29">
        <v>0</v>
      </c>
      <c r="H134" s="29">
        <v>0</v>
      </c>
    </row>
    <row r="135" ht="20.05" customHeight="1">
      <c r="A135" s="12"/>
      <c r="B135" s="13"/>
      <c r="C135" t="s" s="28">
        <v>284</v>
      </c>
      <c r="D135" s="29">
        <v>0</v>
      </c>
      <c r="E135" s="29">
        <v>1</v>
      </c>
      <c r="F135" s="29">
        <v>0</v>
      </c>
      <c r="G135" s="29">
        <v>0</v>
      </c>
      <c r="H135" s="29">
        <v>0</v>
      </c>
    </row>
    <row r="136" ht="20.05" customHeight="1">
      <c r="A136" s="12"/>
      <c r="B136" s="13"/>
      <c r="C136" t="s" s="28">
        <v>285</v>
      </c>
      <c r="D136" s="29">
        <v>0</v>
      </c>
      <c r="E136" s="29">
        <v>0</v>
      </c>
      <c r="F136" s="29">
        <v>2</v>
      </c>
      <c r="G136" s="29">
        <v>1</v>
      </c>
      <c r="H136" s="29">
        <v>0</v>
      </c>
    </row>
    <row r="137" ht="20.05" customHeight="1">
      <c r="A137" t="s" s="113">
        <v>625</v>
      </c>
      <c r="B137" t="s" s="114">
        <v>626</v>
      </c>
      <c r="C137" t="s" s="32">
        <v>627</v>
      </c>
      <c r="D137" s="33">
        <v>0</v>
      </c>
      <c r="E137" s="33">
        <v>5</v>
      </c>
      <c r="F137" s="33">
        <v>4</v>
      </c>
      <c r="G137" s="33">
        <v>0</v>
      </c>
      <c r="H137" s="33">
        <v>0</v>
      </c>
    </row>
    <row r="138" ht="20.05" customHeight="1">
      <c r="A138" s="12"/>
      <c r="B138" s="13"/>
      <c r="C138" t="s" s="32">
        <v>11</v>
      </c>
      <c r="D138" s="33">
        <v>0</v>
      </c>
      <c r="E138" s="33">
        <v>2</v>
      </c>
      <c r="F138" s="33">
        <v>6</v>
      </c>
      <c r="G138" s="33">
        <v>0</v>
      </c>
      <c r="H138" s="33">
        <v>0</v>
      </c>
    </row>
    <row r="139" ht="20.05" customHeight="1">
      <c r="A139" s="12"/>
      <c r="B139" t="s" s="114">
        <v>628</v>
      </c>
      <c r="C139" t="s" s="32">
        <v>629</v>
      </c>
      <c r="D139" s="33">
        <v>0</v>
      </c>
      <c r="E139" s="33">
        <v>0</v>
      </c>
      <c r="F139" s="33">
        <v>3</v>
      </c>
      <c r="G139" s="33">
        <v>0</v>
      </c>
      <c r="H139" s="33">
        <v>0</v>
      </c>
    </row>
    <row r="140" ht="20.05" customHeight="1">
      <c r="A140" s="12"/>
      <c r="B140" s="13"/>
      <c r="C140" t="s" s="32">
        <v>630</v>
      </c>
      <c r="D140" s="33">
        <v>0</v>
      </c>
      <c r="E140" s="33">
        <v>2</v>
      </c>
      <c r="F140" s="33">
        <v>2</v>
      </c>
      <c r="G140" s="33">
        <v>0</v>
      </c>
      <c r="H140" s="33">
        <v>0</v>
      </c>
    </row>
    <row r="141" ht="20.05" customHeight="1">
      <c r="A141" s="12"/>
      <c r="B141" s="13"/>
      <c r="C141" t="s" s="32">
        <v>44</v>
      </c>
      <c r="D141" s="33">
        <v>1</v>
      </c>
      <c r="E141" s="33">
        <v>2</v>
      </c>
      <c r="F141" s="33">
        <v>4</v>
      </c>
      <c r="G141" s="33">
        <v>1</v>
      </c>
      <c r="H141" s="33">
        <v>1</v>
      </c>
    </row>
    <row r="142" ht="20.05" customHeight="1">
      <c r="A142" s="12"/>
      <c r="B142" s="13"/>
      <c r="C142" t="s" s="32">
        <v>45</v>
      </c>
      <c r="D142" s="33">
        <v>0</v>
      </c>
      <c r="E142" s="33">
        <v>0</v>
      </c>
      <c r="F142" s="33">
        <v>2</v>
      </c>
      <c r="G142" s="33">
        <v>0</v>
      </c>
      <c r="H142" s="33">
        <v>0</v>
      </c>
    </row>
    <row r="143" ht="24.35" customHeight="1">
      <c r="A143" s="12"/>
      <c r="B143" t="s" s="114">
        <v>631</v>
      </c>
      <c r="C143" t="s" s="32">
        <v>631</v>
      </c>
      <c r="D143" s="33">
        <v>0</v>
      </c>
      <c r="E143" s="33">
        <v>2</v>
      </c>
      <c r="F143" s="33">
        <v>6</v>
      </c>
      <c r="G143" s="33">
        <v>0</v>
      </c>
      <c r="H143" s="33">
        <v>0</v>
      </c>
    </row>
    <row r="144" ht="20.05" customHeight="1">
      <c r="A144" s="12"/>
      <c r="B144" t="s" s="114">
        <v>632</v>
      </c>
      <c r="C144" t="s" s="32">
        <v>633</v>
      </c>
      <c r="D144" s="33">
        <v>0</v>
      </c>
      <c r="E144" s="33">
        <v>2</v>
      </c>
      <c r="F144" s="33">
        <v>2</v>
      </c>
      <c r="G144" s="33">
        <v>0</v>
      </c>
      <c r="H144" s="33">
        <v>0</v>
      </c>
    </row>
    <row r="145" ht="20.05" customHeight="1">
      <c r="A145" s="12"/>
      <c r="B145" s="13"/>
      <c r="C145" t="s" s="32">
        <v>634</v>
      </c>
      <c r="D145" s="33">
        <v>0</v>
      </c>
      <c r="E145" s="33">
        <v>1</v>
      </c>
      <c r="F145" s="33">
        <v>2</v>
      </c>
      <c r="G145" s="33">
        <v>0</v>
      </c>
      <c r="H145" s="33">
        <v>0</v>
      </c>
    </row>
    <row r="146" ht="20.05" customHeight="1">
      <c r="A146" s="12"/>
      <c r="B146" t="s" s="114">
        <v>635</v>
      </c>
      <c r="C146" t="s" s="32">
        <v>636</v>
      </c>
      <c r="D146" s="33">
        <v>0</v>
      </c>
      <c r="E146" s="33">
        <v>1</v>
      </c>
      <c r="F146" s="33">
        <v>0</v>
      </c>
      <c r="G146" s="33">
        <v>0</v>
      </c>
      <c r="H146" s="33">
        <v>0</v>
      </c>
    </row>
    <row r="147" ht="20.05" customHeight="1">
      <c r="A147" s="12"/>
      <c r="B147" s="13"/>
      <c r="C147" t="s" s="32">
        <v>637</v>
      </c>
      <c r="D147" s="33">
        <v>0</v>
      </c>
      <c r="E147" s="33">
        <v>6</v>
      </c>
      <c r="F147" s="33">
        <v>2</v>
      </c>
      <c r="G147" s="33">
        <v>0</v>
      </c>
      <c r="H147" s="33">
        <v>0</v>
      </c>
    </row>
    <row r="148" ht="20.05" customHeight="1">
      <c r="A148" s="12"/>
      <c r="B148" t="s" s="114">
        <v>638</v>
      </c>
      <c r="C148" t="s" s="32">
        <v>639</v>
      </c>
      <c r="D148" s="33">
        <v>0</v>
      </c>
      <c r="E148" s="33">
        <v>7</v>
      </c>
      <c r="F148" s="33">
        <v>3</v>
      </c>
      <c r="G148" s="33">
        <v>0</v>
      </c>
      <c r="H148" s="33">
        <v>0</v>
      </c>
    </row>
    <row r="149" ht="20.05" customHeight="1">
      <c r="A149" s="12"/>
      <c r="B149" s="13"/>
      <c r="C149" t="s" s="32">
        <v>640</v>
      </c>
      <c r="D149" s="33">
        <v>0</v>
      </c>
      <c r="E149" s="33">
        <v>1</v>
      </c>
      <c r="F149" s="33">
        <v>1</v>
      </c>
      <c r="G149" s="33">
        <v>0</v>
      </c>
      <c r="H149" s="33">
        <v>0</v>
      </c>
    </row>
    <row r="150" ht="20.05" customHeight="1">
      <c r="A150" s="12"/>
      <c r="B150" s="13"/>
      <c r="C150" t="s" s="32">
        <v>641</v>
      </c>
      <c r="D150" s="33">
        <v>0</v>
      </c>
      <c r="E150" s="33">
        <v>0</v>
      </c>
      <c r="F150" s="33">
        <v>1</v>
      </c>
      <c r="G150" s="33">
        <v>0</v>
      </c>
      <c r="H150" s="33">
        <v>0</v>
      </c>
    </row>
    <row r="151" ht="20.05" customHeight="1">
      <c r="A151" t="s" s="115">
        <v>642</v>
      </c>
      <c r="B151" t="s" s="116">
        <v>643</v>
      </c>
      <c r="C151" t="s" s="38">
        <v>644</v>
      </c>
      <c r="D151" s="39">
        <v>0</v>
      </c>
      <c r="E151" s="39">
        <v>6</v>
      </c>
      <c r="F151" s="39">
        <v>0</v>
      </c>
      <c r="G151" s="39">
        <v>0</v>
      </c>
      <c r="H151" s="39">
        <v>0</v>
      </c>
    </row>
    <row r="152" ht="20.05" customHeight="1">
      <c r="A152" s="12"/>
      <c r="B152" s="13"/>
      <c r="C152" t="s" s="38">
        <v>645</v>
      </c>
      <c r="D152" s="39">
        <v>0</v>
      </c>
      <c r="E152" s="39">
        <v>8</v>
      </c>
      <c r="F152" s="39">
        <v>3</v>
      </c>
      <c r="G152" s="39">
        <v>0</v>
      </c>
      <c r="H152" s="39">
        <v>0</v>
      </c>
    </row>
    <row r="153" ht="20.05" customHeight="1">
      <c r="A153" s="12"/>
      <c r="B153" s="13"/>
      <c r="C153" t="s" s="38">
        <v>646</v>
      </c>
      <c r="D153" s="39">
        <v>0</v>
      </c>
      <c r="E153" s="39">
        <v>8</v>
      </c>
      <c r="F153" s="39">
        <v>7</v>
      </c>
      <c r="G153" s="39">
        <v>0</v>
      </c>
      <c r="H153" s="39">
        <v>0</v>
      </c>
    </row>
    <row r="154" ht="20.05" customHeight="1">
      <c r="A154" s="12"/>
      <c r="B154" s="13"/>
      <c r="C154" t="s" s="38">
        <v>647</v>
      </c>
      <c r="D154" s="39">
        <v>0</v>
      </c>
      <c r="E154" s="39">
        <v>2</v>
      </c>
      <c r="F154" s="39">
        <v>0</v>
      </c>
      <c r="G154" s="39">
        <v>0</v>
      </c>
      <c r="H154" s="39">
        <v>0</v>
      </c>
    </row>
    <row r="155" ht="20.05" customHeight="1">
      <c r="A155" s="12"/>
      <c r="B155" t="s" s="116">
        <v>648</v>
      </c>
      <c r="C155" t="s" s="38">
        <v>559</v>
      </c>
      <c r="D155" s="39">
        <v>0</v>
      </c>
      <c r="E155" s="39">
        <v>0</v>
      </c>
      <c r="F155" s="39">
        <v>2</v>
      </c>
      <c r="G155" s="39">
        <v>0</v>
      </c>
      <c r="H155" s="39">
        <v>0</v>
      </c>
    </row>
    <row r="156" ht="20.05" customHeight="1">
      <c r="A156" s="12"/>
      <c r="B156" s="13"/>
      <c r="C156" t="s" s="38">
        <v>649</v>
      </c>
      <c r="D156" s="39">
        <v>0</v>
      </c>
      <c r="E156" s="39">
        <v>6</v>
      </c>
      <c r="F156" s="39">
        <v>5</v>
      </c>
      <c r="G156" s="39">
        <v>0</v>
      </c>
      <c r="H156" s="39">
        <v>0</v>
      </c>
    </row>
    <row r="157" ht="20.05" customHeight="1">
      <c r="A157" s="12"/>
      <c r="B157" t="s" s="116">
        <v>650</v>
      </c>
      <c r="C157" t="s" s="38">
        <v>650</v>
      </c>
      <c r="D157" s="39">
        <v>1</v>
      </c>
      <c r="E157" s="39">
        <v>13</v>
      </c>
      <c r="F157" s="39">
        <v>7</v>
      </c>
      <c r="G157" s="39">
        <v>0</v>
      </c>
      <c r="H157" s="39">
        <v>0</v>
      </c>
    </row>
    <row r="158" ht="20.05" customHeight="1">
      <c r="A158" s="12"/>
      <c r="B158" s="13"/>
      <c r="C158" t="s" s="38">
        <v>651</v>
      </c>
      <c r="D158" s="39">
        <v>0</v>
      </c>
      <c r="E158" s="39">
        <v>5</v>
      </c>
      <c r="F158" s="39">
        <v>0</v>
      </c>
      <c r="G158" s="39">
        <v>0</v>
      </c>
      <c r="H158" s="39">
        <v>0</v>
      </c>
    </row>
    <row r="159" ht="20.05" customHeight="1">
      <c r="A159" s="12"/>
      <c r="B159" s="13"/>
      <c r="C159" t="s" s="38">
        <v>652</v>
      </c>
      <c r="D159" s="39">
        <v>0</v>
      </c>
      <c r="E159" s="39">
        <v>3</v>
      </c>
      <c r="F159" s="39">
        <v>0</v>
      </c>
      <c r="G159" s="39">
        <v>0</v>
      </c>
      <c r="H159" s="39">
        <v>0</v>
      </c>
    </row>
    <row r="160" ht="24.35" customHeight="1">
      <c r="A160" s="12"/>
      <c r="B160" t="s" s="116">
        <v>653</v>
      </c>
      <c r="C160" t="s" s="38">
        <v>654</v>
      </c>
      <c r="D160" s="39">
        <v>0</v>
      </c>
      <c r="E160" s="39">
        <v>5</v>
      </c>
      <c r="F160" s="39">
        <v>0</v>
      </c>
      <c r="G160" s="39">
        <v>0</v>
      </c>
      <c r="H160" s="39">
        <v>0</v>
      </c>
    </row>
    <row r="161" ht="20.05" customHeight="1">
      <c r="A161" s="12"/>
      <c r="B161" t="s" s="116">
        <v>655</v>
      </c>
      <c r="C161" t="s" s="38">
        <v>656</v>
      </c>
      <c r="D161" s="39">
        <v>0</v>
      </c>
      <c r="E161" s="39">
        <v>7</v>
      </c>
      <c r="F161" s="39">
        <v>0</v>
      </c>
      <c r="G161" s="39">
        <v>0</v>
      </c>
      <c r="H161" s="39">
        <v>0</v>
      </c>
    </row>
    <row r="162" ht="20.05" customHeight="1">
      <c r="A162" s="12"/>
      <c r="B162" s="13"/>
      <c r="C162" t="s" s="38">
        <v>657</v>
      </c>
      <c r="D162" s="39">
        <v>0</v>
      </c>
      <c r="E162" s="39">
        <v>1</v>
      </c>
      <c r="F162" s="39">
        <v>0</v>
      </c>
      <c r="G162" s="39">
        <v>0</v>
      </c>
      <c r="H162" s="39">
        <v>0</v>
      </c>
    </row>
    <row r="163" ht="20.05" customHeight="1">
      <c r="A163" s="12"/>
      <c r="B163" s="13"/>
      <c r="C163" t="s" s="38">
        <v>658</v>
      </c>
      <c r="D163" s="39">
        <v>0</v>
      </c>
      <c r="E163" s="39">
        <v>2</v>
      </c>
      <c r="F163" s="39">
        <v>0</v>
      </c>
      <c r="G163" s="39">
        <v>0</v>
      </c>
      <c r="H163" s="39">
        <v>0</v>
      </c>
    </row>
    <row r="164" ht="20.05" customHeight="1">
      <c r="A164" s="12"/>
      <c r="B164" t="s" s="116">
        <v>659</v>
      </c>
      <c r="C164" t="s" s="38">
        <v>660</v>
      </c>
      <c r="D164" s="39">
        <v>0</v>
      </c>
      <c r="E164" s="39">
        <v>2</v>
      </c>
      <c r="F164" s="39">
        <v>0</v>
      </c>
      <c r="G164" s="39">
        <v>0</v>
      </c>
      <c r="H164" s="39">
        <v>0</v>
      </c>
    </row>
    <row r="165" ht="20.05" customHeight="1">
      <c r="A165" s="12"/>
      <c r="B165" s="13"/>
      <c r="C165" t="s" s="38">
        <v>661</v>
      </c>
      <c r="D165" s="39">
        <v>0</v>
      </c>
      <c r="E165" s="39">
        <v>2</v>
      </c>
      <c r="F165" s="39">
        <v>0</v>
      </c>
      <c r="G165" s="39">
        <v>0</v>
      </c>
      <c r="H165" s="39">
        <v>0</v>
      </c>
    </row>
    <row r="166" ht="20.05" customHeight="1">
      <c r="A166" s="12"/>
      <c r="B166" s="13"/>
      <c r="C166" t="s" s="38">
        <v>662</v>
      </c>
      <c r="D166" s="39">
        <v>0</v>
      </c>
      <c r="E166" s="39">
        <v>0</v>
      </c>
      <c r="F166" s="39">
        <v>0</v>
      </c>
      <c r="G166" s="39">
        <v>0</v>
      </c>
      <c r="H166" s="39">
        <v>0</v>
      </c>
    </row>
    <row r="167" ht="20.05" customHeight="1">
      <c r="A167" s="12"/>
      <c r="B167" t="s" s="116">
        <v>663</v>
      </c>
      <c r="C167" t="s" s="38">
        <v>664</v>
      </c>
      <c r="D167" s="39">
        <v>0</v>
      </c>
      <c r="E167" s="39">
        <v>5</v>
      </c>
      <c r="F167" s="39">
        <v>1</v>
      </c>
      <c r="G167" s="39">
        <v>0</v>
      </c>
      <c r="H167" s="39">
        <v>0</v>
      </c>
    </row>
    <row r="168" ht="20.05" customHeight="1">
      <c r="A168" s="12"/>
      <c r="B168" s="13"/>
      <c r="C168" t="s" s="38">
        <v>665</v>
      </c>
      <c r="D168" s="39">
        <v>0</v>
      </c>
      <c r="E168" s="39">
        <v>1</v>
      </c>
      <c r="F168" s="39">
        <v>0</v>
      </c>
      <c r="G168" s="39">
        <v>0</v>
      </c>
      <c r="H168" s="39">
        <v>0</v>
      </c>
    </row>
    <row r="169" ht="20.05" customHeight="1">
      <c r="A169" s="12"/>
      <c r="B169" t="s" s="116">
        <v>666</v>
      </c>
      <c r="C169" t="s" s="38">
        <v>667</v>
      </c>
      <c r="D169" s="39">
        <v>0</v>
      </c>
      <c r="E169" s="39">
        <v>4</v>
      </c>
      <c r="F169" s="39">
        <v>0</v>
      </c>
      <c r="G169" s="39">
        <v>0</v>
      </c>
      <c r="H169" s="39">
        <v>0</v>
      </c>
    </row>
    <row r="170" ht="20.05" customHeight="1">
      <c r="A170" s="12"/>
      <c r="B170" s="13"/>
      <c r="C170" t="s" s="38">
        <v>668</v>
      </c>
      <c r="D170" s="39">
        <v>0</v>
      </c>
      <c r="E170" s="39">
        <v>4</v>
      </c>
      <c r="F170" s="39">
        <v>1</v>
      </c>
      <c r="G170" s="39">
        <v>0</v>
      </c>
      <c r="H170" s="39">
        <v>0</v>
      </c>
    </row>
    <row r="171" ht="20.05" customHeight="1">
      <c r="A171" s="12"/>
      <c r="B171" s="13"/>
      <c r="C171" t="s" s="38">
        <v>669</v>
      </c>
      <c r="D171" s="39">
        <v>0</v>
      </c>
      <c r="E171" s="39">
        <v>15</v>
      </c>
      <c r="F171" s="39">
        <v>3</v>
      </c>
      <c r="G171" s="39">
        <v>0</v>
      </c>
      <c r="H171" s="39">
        <v>0</v>
      </c>
    </row>
    <row r="172" ht="20.05" customHeight="1">
      <c r="A172" s="12"/>
      <c r="B172" t="s" s="116">
        <v>670</v>
      </c>
      <c r="C172" t="s" s="38">
        <v>671</v>
      </c>
      <c r="D172" s="39">
        <v>0</v>
      </c>
      <c r="E172" s="39">
        <v>5</v>
      </c>
      <c r="F172" s="39">
        <v>0</v>
      </c>
      <c r="G172" s="39">
        <v>0</v>
      </c>
      <c r="H172" s="39">
        <v>0</v>
      </c>
    </row>
    <row r="173" ht="20.05" customHeight="1">
      <c r="A173" s="12"/>
      <c r="B173" s="13"/>
      <c r="C173" t="s" s="38">
        <v>672</v>
      </c>
      <c r="D173" s="39">
        <v>1</v>
      </c>
      <c r="E173" s="39">
        <v>0</v>
      </c>
      <c r="F173" s="39">
        <v>2</v>
      </c>
      <c r="G173" s="39">
        <v>0</v>
      </c>
      <c r="H173" s="39">
        <v>1</v>
      </c>
    </row>
    <row r="174" ht="20.05" customHeight="1">
      <c r="A174" s="12"/>
      <c r="B174" t="s" s="116">
        <v>673</v>
      </c>
      <c r="C174" t="s" s="38">
        <v>674</v>
      </c>
      <c r="D174" s="39">
        <v>0</v>
      </c>
      <c r="E174" s="39">
        <v>2</v>
      </c>
      <c r="F174" s="39">
        <v>0</v>
      </c>
      <c r="G174" s="39">
        <v>0</v>
      </c>
      <c r="H174" s="39">
        <v>0</v>
      </c>
    </row>
    <row r="175" ht="20.05" customHeight="1">
      <c r="A175" s="12"/>
      <c r="B175" s="13"/>
      <c r="C175" t="s" s="38">
        <v>675</v>
      </c>
      <c r="D175" s="39">
        <v>0</v>
      </c>
      <c r="E175" s="39">
        <v>4</v>
      </c>
      <c r="F175" s="39">
        <v>0</v>
      </c>
      <c r="G175" s="39">
        <v>0</v>
      </c>
      <c r="H175" s="39">
        <v>0</v>
      </c>
    </row>
    <row r="176" ht="20.05" customHeight="1">
      <c r="A176" s="12"/>
      <c r="B176" s="13"/>
      <c r="C176" t="s" s="38">
        <v>676</v>
      </c>
      <c r="D176" s="39">
        <v>0</v>
      </c>
      <c r="E176" s="39">
        <v>3</v>
      </c>
      <c r="F176" s="39">
        <v>0</v>
      </c>
      <c r="G176" s="39">
        <v>0</v>
      </c>
      <c r="H176" s="39">
        <v>0</v>
      </c>
    </row>
    <row r="177" ht="20.05" customHeight="1">
      <c r="A177" s="12"/>
      <c r="B177" s="13"/>
      <c r="C177" t="s" s="38">
        <v>677</v>
      </c>
      <c r="D177" s="39">
        <v>0</v>
      </c>
      <c r="E177" s="39">
        <v>5</v>
      </c>
      <c r="F177" s="39">
        <v>0</v>
      </c>
      <c r="G177" s="39">
        <v>0</v>
      </c>
      <c r="H177" s="39">
        <v>0</v>
      </c>
    </row>
    <row r="178" ht="20.05" customHeight="1">
      <c r="A178" s="12"/>
      <c r="B178" t="s" s="116">
        <v>678</v>
      </c>
      <c r="C178" t="s" s="38">
        <v>679</v>
      </c>
      <c r="D178" s="39">
        <v>0</v>
      </c>
      <c r="E178" s="39">
        <v>6</v>
      </c>
      <c r="F178" s="39">
        <v>1</v>
      </c>
      <c r="G178" s="39">
        <v>0</v>
      </c>
      <c r="H178" s="39">
        <v>0</v>
      </c>
    </row>
    <row r="179" ht="20.05" customHeight="1">
      <c r="A179" s="12"/>
      <c r="B179" s="13"/>
      <c r="C179" t="s" s="38">
        <v>680</v>
      </c>
      <c r="D179" s="39">
        <v>0</v>
      </c>
      <c r="E179" s="39">
        <v>7</v>
      </c>
      <c r="F179" s="39">
        <v>1</v>
      </c>
      <c r="G179" s="39">
        <v>0</v>
      </c>
      <c r="H179" s="39">
        <v>0</v>
      </c>
    </row>
    <row r="180" ht="20.05" customHeight="1">
      <c r="A180" s="12"/>
      <c r="B180" s="13"/>
      <c r="C180" t="s" s="38">
        <v>681</v>
      </c>
      <c r="D180" s="39">
        <v>0</v>
      </c>
      <c r="E180" s="39">
        <v>4</v>
      </c>
      <c r="F180" s="39">
        <v>2</v>
      </c>
      <c r="G180" s="39">
        <v>0</v>
      </c>
      <c r="H180" s="39">
        <v>0</v>
      </c>
    </row>
    <row r="181" ht="20.05" customHeight="1">
      <c r="A181" t="s" s="59">
        <v>682</v>
      </c>
      <c r="B181" t="s" s="117">
        <v>683</v>
      </c>
      <c r="C181" t="s" s="61">
        <v>684</v>
      </c>
      <c r="D181" s="62">
        <v>0</v>
      </c>
      <c r="E181" s="62">
        <v>4</v>
      </c>
      <c r="F181" s="62">
        <v>0</v>
      </c>
      <c r="G181" s="62">
        <v>0</v>
      </c>
      <c r="H181" s="62">
        <v>0</v>
      </c>
    </row>
    <row r="182" ht="20.05" customHeight="1">
      <c r="A182" s="12"/>
      <c r="B182" s="13"/>
      <c r="C182" t="s" s="61">
        <v>685</v>
      </c>
      <c r="D182" s="62">
        <v>0</v>
      </c>
      <c r="E182" s="62">
        <v>1</v>
      </c>
      <c r="F182" s="62">
        <v>0</v>
      </c>
      <c r="G182" s="62">
        <v>0</v>
      </c>
      <c r="H182" s="62">
        <v>0</v>
      </c>
    </row>
    <row r="183" ht="20.05" customHeight="1">
      <c r="A183" s="12"/>
      <c r="B183" s="13"/>
      <c r="C183" t="s" s="61">
        <v>686</v>
      </c>
      <c r="D183" s="62">
        <v>0</v>
      </c>
      <c r="E183" s="62">
        <v>3</v>
      </c>
      <c r="F183" s="62">
        <v>0</v>
      </c>
      <c r="G183" s="62">
        <v>0</v>
      </c>
      <c r="H183" s="62">
        <v>0</v>
      </c>
    </row>
    <row r="184" ht="20.05" customHeight="1">
      <c r="A184" s="12"/>
      <c r="B184" s="13"/>
      <c r="C184" t="s" s="61">
        <v>687</v>
      </c>
      <c r="D184" s="62">
        <v>0</v>
      </c>
      <c r="E184" s="62">
        <v>0</v>
      </c>
      <c r="F184" s="62">
        <v>1</v>
      </c>
      <c r="G184" s="62">
        <v>0</v>
      </c>
      <c r="H184" s="62">
        <v>0</v>
      </c>
    </row>
    <row r="185" ht="20.05" customHeight="1">
      <c r="A185" s="12"/>
      <c r="B185" s="13"/>
      <c r="C185" t="s" s="61">
        <v>688</v>
      </c>
      <c r="D185" s="62">
        <v>0</v>
      </c>
      <c r="E185" s="62">
        <v>0</v>
      </c>
      <c r="F185" s="62">
        <v>0</v>
      </c>
      <c r="G185" s="62">
        <v>0</v>
      </c>
      <c r="H185" s="62">
        <v>0</v>
      </c>
    </row>
    <row r="186" ht="24.35" customHeight="1">
      <c r="A186" s="12"/>
      <c r="B186" t="s" s="117">
        <v>689</v>
      </c>
      <c r="C186" t="s" s="42">
        <v>221</v>
      </c>
      <c r="D186" s="43">
        <v>0</v>
      </c>
      <c r="E186" s="43">
        <v>9</v>
      </c>
      <c r="F186" s="43">
        <v>6</v>
      </c>
      <c r="G186" s="43">
        <v>0</v>
      </c>
      <c r="H186" s="43">
        <v>0</v>
      </c>
    </row>
    <row r="187" ht="24.35" customHeight="1">
      <c r="A187" s="12"/>
      <c r="B187" t="s" s="117">
        <v>690</v>
      </c>
      <c r="C187" t="s" s="42">
        <v>691</v>
      </c>
      <c r="D187" s="43">
        <v>0</v>
      </c>
      <c r="E187" s="43">
        <v>10</v>
      </c>
      <c r="F187" s="43">
        <v>4</v>
      </c>
      <c r="G187" s="43">
        <v>0</v>
      </c>
      <c r="H187" s="43">
        <v>1</v>
      </c>
    </row>
    <row r="188" ht="24.35" customHeight="1">
      <c r="A188" s="12"/>
      <c r="B188" t="s" s="117">
        <v>692</v>
      </c>
      <c r="C188" t="s" s="61">
        <v>693</v>
      </c>
      <c r="D188" s="62">
        <v>0</v>
      </c>
      <c r="E188" s="62">
        <v>4</v>
      </c>
      <c r="F188" s="62">
        <v>0</v>
      </c>
      <c r="G188" s="62">
        <v>0</v>
      </c>
      <c r="H188" s="62">
        <v>0</v>
      </c>
    </row>
    <row r="189" ht="20.05" customHeight="1">
      <c r="A189" s="12"/>
      <c r="B189" t="s" s="117">
        <v>694</v>
      </c>
      <c r="C189" t="s" s="61">
        <v>695</v>
      </c>
      <c r="D189" s="62">
        <v>0</v>
      </c>
      <c r="E189" s="62">
        <v>2</v>
      </c>
      <c r="F189" s="62">
        <v>1</v>
      </c>
      <c r="G189" s="62">
        <v>0</v>
      </c>
      <c r="H189" s="62">
        <v>0</v>
      </c>
    </row>
    <row r="190" ht="20.05" customHeight="1">
      <c r="A190" s="12"/>
      <c r="B190" s="13"/>
      <c r="C190" t="s" s="61">
        <v>696</v>
      </c>
      <c r="D190" s="62">
        <v>0</v>
      </c>
      <c r="E190" s="62">
        <v>3</v>
      </c>
      <c r="F190" s="62">
        <v>0</v>
      </c>
      <c r="G190" s="62">
        <v>0</v>
      </c>
      <c r="H190" s="62">
        <v>0</v>
      </c>
    </row>
    <row r="191" ht="20.05" customHeight="1">
      <c r="A191" s="12"/>
      <c r="B191" t="s" s="117">
        <v>697</v>
      </c>
      <c r="C191" t="s" s="61">
        <v>698</v>
      </c>
      <c r="D191" s="62">
        <v>0</v>
      </c>
      <c r="E191" s="62">
        <v>2</v>
      </c>
      <c r="F191" s="62">
        <v>0</v>
      </c>
      <c r="G191" s="62">
        <v>0</v>
      </c>
      <c r="H191" s="62">
        <v>0</v>
      </c>
    </row>
    <row r="192" ht="20.05" customHeight="1">
      <c r="A192" s="12"/>
      <c r="B192" s="13"/>
      <c r="C192" t="s" s="61">
        <v>699</v>
      </c>
      <c r="D192" s="62">
        <v>0</v>
      </c>
      <c r="E192" s="62">
        <v>5</v>
      </c>
      <c r="F192" s="62">
        <v>0</v>
      </c>
      <c r="G192" s="62">
        <v>0</v>
      </c>
      <c r="H192" s="62">
        <v>0</v>
      </c>
    </row>
    <row r="193" ht="20.05" customHeight="1">
      <c r="A193" s="12"/>
      <c r="B193" s="13"/>
      <c r="C193" t="s" s="61">
        <v>700</v>
      </c>
      <c r="D193" s="62">
        <v>0</v>
      </c>
      <c r="E193" s="62">
        <v>5</v>
      </c>
      <c r="F193" s="62">
        <v>0</v>
      </c>
      <c r="G193" s="62">
        <v>0</v>
      </c>
      <c r="H193" s="62">
        <v>0</v>
      </c>
    </row>
    <row r="194" ht="20.05" customHeight="1">
      <c r="A194" s="12"/>
      <c r="B194" t="s" s="117">
        <v>701</v>
      </c>
      <c r="C194" t="s" s="61">
        <v>702</v>
      </c>
      <c r="D194" s="62">
        <v>0</v>
      </c>
      <c r="E194" s="62">
        <v>1</v>
      </c>
      <c r="F194" s="62">
        <v>0</v>
      </c>
      <c r="G194" s="62">
        <v>0</v>
      </c>
      <c r="H194" s="62">
        <v>0</v>
      </c>
    </row>
    <row r="195" ht="20.05" customHeight="1">
      <c r="A195" s="12"/>
      <c r="B195" s="13"/>
      <c r="C195" t="s" s="61">
        <v>703</v>
      </c>
      <c r="D195" s="62">
        <v>0</v>
      </c>
      <c r="E195" s="62">
        <v>0</v>
      </c>
      <c r="F195" s="62">
        <v>0</v>
      </c>
      <c r="G195" s="62">
        <v>0</v>
      </c>
      <c r="H195" s="62">
        <v>0</v>
      </c>
    </row>
    <row r="196" ht="20.05" customHeight="1">
      <c r="A196" s="12"/>
      <c r="B196" t="s" s="117">
        <v>704</v>
      </c>
      <c r="C196" t="s" s="61">
        <v>705</v>
      </c>
      <c r="D196" s="62">
        <v>0</v>
      </c>
      <c r="E196" s="62">
        <v>3</v>
      </c>
      <c r="F196" s="62">
        <v>1</v>
      </c>
      <c r="G196" s="62">
        <v>0</v>
      </c>
      <c r="H196" s="62">
        <v>0</v>
      </c>
    </row>
    <row r="197" ht="20.05" customHeight="1">
      <c r="A197" s="12"/>
      <c r="B197" s="13"/>
      <c r="C197" t="s" s="61">
        <v>216</v>
      </c>
      <c r="D197" s="62">
        <v>0</v>
      </c>
      <c r="E197" s="62">
        <v>2</v>
      </c>
      <c r="F197" s="62">
        <v>2</v>
      </c>
      <c r="G197" s="62">
        <v>0</v>
      </c>
      <c r="H197" s="62">
        <v>0</v>
      </c>
    </row>
    <row r="198" ht="20.05" customHeight="1">
      <c r="A198" s="12"/>
      <c r="B198" s="13"/>
      <c r="C198" t="s" s="61">
        <v>706</v>
      </c>
      <c r="D198" s="62">
        <v>0</v>
      </c>
      <c r="E198" s="62">
        <v>1</v>
      </c>
      <c r="F198" s="62">
        <v>0</v>
      </c>
      <c r="G198" s="62">
        <v>0</v>
      </c>
      <c r="H198" s="62">
        <v>0</v>
      </c>
    </row>
    <row r="199" ht="20.05" customHeight="1">
      <c r="A199" t="s" s="63">
        <v>707</v>
      </c>
      <c r="B199" t="s" s="118">
        <v>708</v>
      </c>
      <c r="C199" t="s" s="65">
        <v>709</v>
      </c>
      <c r="D199" s="66">
        <v>0</v>
      </c>
      <c r="E199" s="66">
        <v>9</v>
      </c>
      <c r="F199" s="66">
        <v>4</v>
      </c>
      <c r="G199" s="66">
        <v>0</v>
      </c>
      <c r="H199" s="66">
        <v>0</v>
      </c>
    </row>
    <row r="200" ht="20.05" customHeight="1">
      <c r="A200" s="12"/>
      <c r="B200" s="13"/>
      <c r="C200" t="s" s="65">
        <v>710</v>
      </c>
      <c r="D200" s="66">
        <v>0</v>
      </c>
      <c r="E200" s="66">
        <v>9</v>
      </c>
      <c r="F200" s="66">
        <v>0</v>
      </c>
      <c r="G200" s="66">
        <v>0</v>
      </c>
      <c r="H200" s="66">
        <v>0</v>
      </c>
    </row>
    <row r="201" ht="20.05" customHeight="1">
      <c r="A201" s="12"/>
      <c r="B201" t="s" s="118">
        <v>711</v>
      </c>
      <c r="C201" t="s" s="65">
        <v>712</v>
      </c>
      <c r="D201" s="66">
        <v>0</v>
      </c>
      <c r="E201" s="66">
        <v>1</v>
      </c>
      <c r="F201" s="66">
        <v>1</v>
      </c>
      <c r="G201" s="66">
        <v>0</v>
      </c>
      <c r="H201" s="66">
        <v>0</v>
      </c>
    </row>
    <row r="202" ht="20.05" customHeight="1">
      <c r="A202" s="12"/>
      <c r="B202" s="13"/>
      <c r="C202" t="s" s="65">
        <v>713</v>
      </c>
      <c r="D202" s="66">
        <v>0</v>
      </c>
      <c r="E202" s="66">
        <v>1</v>
      </c>
      <c r="F202" s="66">
        <v>2</v>
      </c>
      <c r="G202" s="66">
        <v>0</v>
      </c>
      <c r="H202" s="66">
        <v>0</v>
      </c>
    </row>
    <row r="203" ht="24.35" customHeight="1">
      <c r="A203" s="12"/>
      <c r="B203" t="s" s="118">
        <v>714</v>
      </c>
      <c r="C203" t="s" s="65">
        <v>714</v>
      </c>
      <c r="D203" s="66">
        <v>0</v>
      </c>
      <c r="E203" s="66">
        <v>9</v>
      </c>
      <c r="F203" s="66">
        <v>0</v>
      </c>
      <c r="G203" s="66">
        <v>0</v>
      </c>
      <c r="H203" s="66">
        <v>0</v>
      </c>
    </row>
    <row r="204" ht="24.35" customHeight="1">
      <c r="A204" s="12"/>
      <c r="B204" t="s" s="118">
        <v>715</v>
      </c>
      <c r="C204" t="s" s="65">
        <v>715</v>
      </c>
      <c r="D204" s="66">
        <v>0</v>
      </c>
      <c r="E204" s="66">
        <v>7</v>
      </c>
      <c r="F204" s="66">
        <v>3</v>
      </c>
      <c r="G204" s="66">
        <v>0</v>
      </c>
      <c r="H204" s="66">
        <v>0</v>
      </c>
    </row>
    <row r="205" ht="24.35" customHeight="1">
      <c r="A205" s="12"/>
      <c r="B205" t="s" s="118">
        <v>716</v>
      </c>
      <c r="C205" t="s" s="65">
        <v>717</v>
      </c>
      <c r="D205" s="66">
        <v>0</v>
      </c>
      <c r="E205" s="66">
        <v>2</v>
      </c>
      <c r="F205" s="66">
        <v>2</v>
      </c>
      <c r="G205" s="66">
        <v>0</v>
      </c>
      <c r="H205" s="66">
        <v>0</v>
      </c>
    </row>
    <row r="206" ht="24.35" customHeight="1">
      <c r="A206" s="12"/>
      <c r="B206" t="s" s="118">
        <v>718</v>
      </c>
      <c r="C206" t="s" s="65">
        <v>718</v>
      </c>
      <c r="D206" s="66">
        <v>0</v>
      </c>
      <c r="E206" s="66">
        <v>1</v>
      </c>
      <c r="F206" s="66">
        <v>3</v>
      </c>
      <c r="G206" s="66">
        <v>0</v>
      </c>
      <c r="H206" s="66">
        <v>0</v>
      </c>
    </row>
    <row r="207" ht="20.05" customHeight="1">
      <c r="A207" s="12"/>
      <c r="B207" t="s" s="118">
        <v>719</v>
      </c>
      <c r="C207" t="s" s="65">
        <v>720</v>
      </c>
      <c r="D207" s="66">
        <v>0</v>
      </c>
      <c r="E207" s="66">
        <v>2</v>
      </c>
      <c r="F207" s="66">
        <v>2</v>
      </c>
      <c r="G207" s="66">
        <v>0</v>
      </c>
      <c r="H207" s="66">
        <v>0</v>
      </c>
    </row>
    <row r="208" ht="20.05" customHeight="1">
      <c r="A208" s="12"/>
      <c r="B208" s="13"/>
      <c r="C208" t="s" s="65">
        <v>721</v>
      </c>
      <c r="D208" s="66">
        <v>0</v>
      </c>
      <c r="E208" s="66">
        <v>1</v>
      </c>
      <c r="F208" s="66">
        <v>0</v>
      </c>
      <c r="G208" s="66">
        <v>0</v>
      </c>
      <c r="H208" s="66">
        <v>0</v>
      </c>
    </row>
    <row r="209" ht="20.05" customHeight="1">
      <c r="A209" s="12"/>
      <c r="B209" t="s" s="118">
        <v>722</v>
      </c>
      <c r="C209" t="s" s="65">
        <v>723</v>
      </c>
      <c r="D209" s="66">
        <v>0</v>
      </c>
      <c r="E209" s="66">
        <v>5</v>
      </c>
      <c r="F209" s="66">
        <v>3</v>
      </c>
      <c r="G209" s="66">
        <v>0</v>
      </c>
      <c r="H209" s="66">
        <v>0</v>
      </c>
    </row>
    <row r="210" ht="20.05" customHeight="1">
      <c r="A210" s="12"/>
      <c r="B210" s="13"/>
      <c r="C210" t="s" s="65">
        <v>724</v>
      </c>
      <c r="D210" s="66">
        <v>0</v>
      </c>
      <c r="E210" s="66">
        <v>7</v>
      </c>
      <c r="F210" s="66">
        <v>0</v>
      </c>
      <c r="G210" s="66">
        <v>0</v>
      </c>
      <c r="H210" s="66">
        <v>0</v>
      </c>
    </row>
    <row r="211" ht="20.05" customHeight="1">
      <c r="A211" s="12"/>
      <c r="B211" s="13"/>
      <c r="C211" t="s" s="65">
        <v>725</v>
      </c>
      <c r="D211" s="66">
        <v>0</v>
      </c>
      <c r="E211" s="66">
        <v>5</v>
      </c>
      <c r="F211" s="66">
        <v>0</v>
      </c>
      <c r="G211" s="66">
        <v>0</v>
      </c>
      <c r="H211" s="66">
        <v>0</v>
      </c>
    </row>
    <row r="212" ht="20.05" customHeight="1">
      <c r="A212" s="12"/>
      <c r="B212" s="13"/>
      <c r="C212" t="s" s="65">
        <v>726</v>
      </c>
      <c r="D212" s="66">
        <v>0</v>
      </c>
      <c r="E212" s="66">
        <v>3</v>
      </c>
      <c r="F212" s="66">
        <v>0</v>
      </c>
      <c r="G212" s="66">
        <v>0</v>
      </c>
      <c r="H212" s="66">
        <v>0</v>
      </c>
    </row>
    <row r="213" ht="24.35" customHeight="1">
      <c r="A213" s="12"/>
      <c r="B213" t="s" s="118">
        <v>727</v>
      </c>
      <c r="C213" t="s" s="65">
        <v>727</v>
      </c>
      <c r="D213" s="66">
        <v>0</v>
      </c>
      <c r="E213" s="66">
        <v>5</v>
      </c>
      <c r="F213" s="66">
        <v>0</v>
      </c>
      <c r="G213" s="66">
        <v>0</v>
      </c>
      <c r="H213" s="66">
        <v>0</v>
      </c>
    </row>
    <row r="214" ht="20.05" customHeight="1">
      <c r="A214" s="12"/>
      <c r="B214" t="s" s="118">
        <v>728</v>
      </c>
      <c r="C214" t="s" s="65">
        <v>729</v>
      </c>
      <c r="D214" s="66">
        <v>0</v>
      </c>
      <c r="E214" s="66">
        <v>2</v>
      </c>
      <c r="F214" s="66">
        <v>0</v>
      </c>
      <c r="G214" s="66">
        <v>0</v>
      </c>
      <c r="H214" s="66">
        <v>0</v>
      </c>
    </row>
    <row r="215" ht="20.05" customHeight="1">
      <c r="A215" s="12"/>
      <c r="B215" s="13"/>
      <c r="C215" t="s" s="65">
        <v>730</v>
      </c>
      <c r="D215" s="66">
        <v>0</v>
      </c>
      <c r="E215" s="66">
        <v>5</v>
      </c>
      <c r="F215" s="66">
        <v>1</v>
      </c>
      <c r="G215" s="66">
        <v>0</v>
      </c>
      <c r="H215" s="66">
        <v>0</v>
      </c>
    </row>
    <row r="216" ht="20.05" customHeight="1">
      <c r="A216" s="12"/>
      <c r="B216" s="13"/>
      <c r="C216" t="s" s="65">
        <v>731</v>
      </c>
      <c r="D216" s="66">
        <v>0</v>
      </c>
      <c r="E216" s="66">
        <v>2</v>
      </c>
      <c r="F216" s="66">
        <v>0</v>
      </c>
      <c r="G216" s="66">
        <v>0</v>
      </c>
      <c r="H216" s="66">
        <v>0</v>
      </c>
    </row>
    <row r="217" ht="20.05" customHeight="1">
      <c r="A217" s="12"/>
      <c r="B217" s="13"/>
      <c r="C217" t="s" s="65">
        <v>656</v>
      </c>
      <c r="D217" s="66">
        <v>0</v>
      </c>
      <c r="E217" s="66">
        <v>7</v>
      </c>
      <c r="F217" s="66">
        <v>0</v>
      </c>
      <c r="G217" s="66">
        <v>0</v>
      </c>
      <c r="H217" s="66">
        <v>0</v>
      </c>
    </row>
    <row r="218" ht="20.05" customHeight="1">
      <c r="A218" s="12"/>
      <c r="B218" t="s" s="118">
        <v>732</v>
      </c>
      <c r="C218" t="s" s="65">
        <v>733</v>
      </c>
      <c r="D218" s="66">
        <v>0</v>
      </c>
      <c r="E218" s="66">
        <v>9</v>
      </c>
      <c r="F218" s="66">
        <v>0</v>
      </c>
      <c r="G218" s="66">
        <v>0</v>
      </c>
      <c r="H218" s="66">
        <v>0</v>
      </c>
    </row>
    <row r="219" ht="20.05" customHeight="1">
      <c r="A219" s="12"/>
      <c r="B219" s="13"/>
      <c r="C219" t="s" s="65">
        <v>734</v>
      </c>
      <c r="D219" s="66">
        <v>0</v>
      </c>
      <c r="E219" s="66">
        <v>2</v>
      </c>
      <c r="F219" s="66">
        <v>0</v>
      </c>
      <c r="G219" s="66">
        <v>0</v>
      </c>
      <c r="H219" s="66">
        <v>0</v>
      </c>
    </row>
    <row r="220" ht="20.05" customHeight="1">
      <c r="A220" s="12"/>
      <c r="B220" s="13"/>
      <c r="C220" t="s" s="65">
        <v>735</v>
      </c>
      <c r="D220" s="66">
        <v>0</v>
      </c>
      <c r="E220" s="66">
        <v>5</v>
      </c>
      <c r="F220" s="66">
        <v>0</v>
      </c>
      <c r="G220" s="66">
        <v>0</v>
      </c>
      <c r="H220" s="66">
        <v>0</v>
      </c>
    </row>
    <row r="221" ht="22.85" customHeight="1">
      <c r="A221" t="s" s="119">
        <v>736</v>
      </c>
      <c r="B221" t="s" s="120">
        <v>737</v>
      </c>
      <c r="C221" t="s" s="121">
        <v>738</v>
      </c>
      <c r="D221" s="122">
        <v>0</v>
      </c>
      <c r="E221" s="122">
        <v>2</v>
      </c>
      <c r="F221" s="122">
        <v>0</v>
      </c>
      <c r="G221" s="122">
        <v>0</v>
      </c>
      <c r="H221" s="122">
        <v>0</v>
      </c>
    </row>
    <row r="222" ht="22.85" customHeight="1">
      <c r="A222" s="12"/>
      <c r="B222" s="13"/>
      <c r="C222" t="s" s="121">
        <v>739</v>
      </c>
      <c r="D222" s="122">
        <v>0</v>
      </c>
      <c r="E222" s="122">
        <v>4</v>
      </c>
      <c r="F222" s="122">
        <v>0</v>
      </c>
      <c r="G222" s="122">
        <v>0</v>
      </c>
      <c r="H222" s="122">
        <v>0</v>
      </c>
    </row>
    <row r="223" ht="22.85" customHeight="1">
      <c r="A223" s="12"/>
      <c r="B223" s="13"/>
      <c r="C223" t="s" s="121">
        <v>740</v>
      </c>
      <c r="D223" s="122">
        <v>0</v>
      </c>
      <c r="E223" s="122">
        <v>3</v>
      </c>
      <c r="F223" s="122">
        <v>0</v>
      </c>
      <c r="G223" s="122">
        <v>0</v>
      </c>
      <c r="H223" s="122">
        <v>0</v>
      </c>
    </row>
    <row r="224" ht="22.85" customHeight="1">
      <c r="A224" s="12"/>
      <c r="B224" t="s" s="120">
        <v>741</v>
      </c>
      <c r="C224" t="s" s="121">
        <v>742</v>
      </c>
      <c r="D224" s="122">
        <v>0</v>
      </c>
      <c r="E224" s="122">
        <v>0</v>
      </c>
      <c r="F224" s="122">
        <v>0</v>
      </c>
      <c r="G224" s="122">
        <v>0</v>
      </c>
      <c r="H224" s="122">
        <v>0</v>
      </c>
    </row>
    <row r="225" ht="22.85" customHeight="1">
      <c r="A225" s="12"/>
      <c r="B225" s="13"/>
      <c r="C225" t="s" s="121">
        <v>743</v>
      </c>
      <c r="D225" s="122">
        <v>0</v>
      </c>
      <c r="E225" s="122">
        <v>1</v>
      </c>
      <c r="F225" s="122">
        <v>0</v>
      </c>
      <c r="G225" s="122">
        <v>0</v>
      </c>
      <c r="H225" s="122">
        <v>0</v>
      </c>
    </row>
    <row r="226" ht="22.85" customHeight="1">
      <c r="A226" s="12"/>
      <c r="B226" s="13"/>
      <c r="C226" t="s" s="121">
        <v>744</v>
      </c>
      <c r="D226" s="122">
        <v>0</v>
      </c>
      <c r="E226" s="122">
        <v>2</v>
      </c>
      <c r="F226" s="122">
        <v>0</v>
      </c>
      <c r="G226" s="122">
        <v>0</v>
      </c>
      <c r="H226" s="122">
        <v>0</v>
      </c>
    </row>
    <row r="227" ht="22.85" customHeight="1">
      <c r="A227" s="12"/>
      <c r="B227" s="13"/>
      <c r="C227" t="s" s="121">
        <v>745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</row>
    <row r="228" ht="22.85" customHeight="1">
      <c r="A228" s="12"/>
      <c r="B228" t="s" s="120">
        <v>746</v>
      </c>
      <c r="C228" t="s" s="121">
        <v>747</v>
      </c>
      <c r="D228" s="122">
        <v>0</v>
      </c>
      <c r="E228" s="122">
        <v>4</v>
      </c>
      <c r="F228" s="122">
        <v>0</v>
      </c>
      <c r="G228" s="122">
        <v>0</v>
      </c>
      <c r="H228" s="122">
        <v>0</v>
      </c>
    </row>
    <row r="229" ht="22.85" customHeight="1">
      <c r="A229" s="12"/>
      <c r="B229" s="13"/>
      <c r="C229" t="s" s="121">
        <v>748</v>
      </c>
      <c r="D229" s="122">
        <v>0</v>
      </c>
      <c r="E229" s="122">
        <v>3</v>
      </c>
      <c r="F229" s="122">
        <v>2</v>
      </c>
      <c r="G229" s="122">
        <v>0</v>
      </c>
      <c r="H229" s="122">
        <v>0</v>
      </c>
    </row>
    <row r="230" ht="22.85" customHeight="1">
      <c r="A230" s="12"/>
      <c r="B230" t="s" s="120">
        <v>749</v>
      </c>
      <c r="C230" t="s" s="121">
        <v>750</v>
      </c>
      <c r="D230" s="122">
        <v>0</v>
      </c>
      <c r="E230" s="122">
        <v>2</v>
      </c>
      <c r="F230" s="122">
        <v>0</v>
      </c>
      <c r="G230" s="122">
        <v>0</v>
      </c>
      <c r="H230" s="122">
        <v>0</v>
      </c>
    </row>
    <row r="231" ht="22.85" customHeight="1">
      <c r="A231" s="12"/>
      <c r="B231" t="s" s="120">
        <v>751</v>
      </c>
      <c r="C231" t="s" s="121">
        <v>752</v>
      </c>
      <c r="D231" s="122">
        <v>0</v>
      </c>
      <c r="E231" s="122">
        <v>3</v>
      </c>
      <c r="F231" s="122">
        <v>1</v>
      </c>
      <c r="G231" s="122">
        <v>0</v>
      </c>
      <c r="H231" s="122">
        <v>0</v>
      </c>
    </row>
    <row r="232" ht="22.85" customHeight="1">
      <c r="A232" s="12"/>
      <c r="B232" s="13"/>
      <c r="C232" t="s" s="121">
        <v>753</v>
      </c>
      <c r="D232" s="122">
        <v>0</v>
      </c>
      <c r="E232" s="122">
        <v>1</v>
      </c>
      <c r="F232" s="122">
        <v>0</v>
      </c>
      <c r="G232" s="122">
        <v>0</v>
      </c>
      <c r="H232" s="122">
        <v>0</v>
      </c>
    </row>
    <row r="233" ht="22.85" customHeight="1">
      <c r="A233" s="12"/>
      <c r="B233" s="13"/>
      <c r="C233" t="s" s="121">
        <v>754</v>
      </c>
      <c r="D233" s="122">
        <v>0</v>
      </c>
      <c r="E233" s="122">
        <v>8</v>
      </c>
      <c r="F233" s="122">
        <v>0</v>
      </c>
      <c r="G233" s="122">
        <v>0</v>
      </c>
      <c r="H233" s="122">
        <v>0</v>
      </c>
    </row>
    <row r="234" ht="22.85" customHeight="1">
      <c r="A234" t="s" s="123">
        <v>755</v>
      </c>
      <c r="B234" t="s" s="124">
        <v>756</v>
      </c>
      <c r="C234" t="s" s="125">
        <v>757</v>
      </c>
      <c r="D234" s="126">
        <v>0</v>
      </c>
      <c r="E234" s="126">
        <v>3</v>
      </c>
      <c r="F234" s="126">
        <v>0</v>
      </c>
      <c r="G234" s="126">
        <v>0</v>
      </c>
      <c r="H234" s="126">
        <v>0</v>
      </c>
    </row>
    <row r="235" ht="22.85" customHeight="1">
      <c r="A235" s="12"/>
      <c r="B235" s="13"/>
      <c r="C235" t="s" s="125">
        <v>758</v>
      </c>
      <c r="D235" s="126">
        <v>0</v>
      </c>
      <c r="E235" s="126">
        <v>3</v>
      </c>
      <c r="F235" s="126">
        <v>0</v>
      </c>
      <c r="G235" s="126">
        <v>0</v>
      </c>
      <c r="H235" s="126">
        <v>0</v>
      </c>
    </row>
    <row r="236" ht="22.85" customHeight="1">
      <c r="A236" s="12"/>
      <c r="B236" s="13"/>
      <c r="C236" t="s" s="125">
        <v>759</v>
      </c>
      <c r="D236" s="126">
        <v>0</v>
      </c>
      <c r="E236" s="126">
        <v>3</v>
      </c>
      <c r="F236" s="126">
        <v>0</v>
      </c>
      <c r="G236" s="126">
        <v>0</v>
      </c>
      <c r="H236" s="126">
        <v>0</v>
      </c>
    </row>
    <row r="237" ht="22.85" customHeight="1">
      <c r="A237" s="12"/>
      <c r="B237" s="13"/>
      <c r="C237" t="s" s="125">
        <v>760</v>
      </c>
      <c r="D237" s="126">
        <v>0</v>
      </c>
      <c r="E237" s="126">
        <v>5</v>
      </c>
      <c r="F237" s="126">
        <v>0</v>
      </c>
      <c r="G237" s="126">
        <v>0</v>
      </c>
      <c r="H237" s="126">
        <v>0</v>
      </c>
    </row>
    <row r="238" ht="22.85" customHeight="1">
      <c r="A238" s="12"/>
      <c r="B238" t="s" s="124">
        <v>761</v>
      </c>
      <c r="C238" t="s" s="125">
        <v>753</v>
      </c>
      <c r="D238" s="126">
        <v>0</v>
      </c>
      <c r="E238" s="126">
        <v>3</v>
      </c>
      <c r="F238" s="126">
        <v>0</v>
      </c>
      <c r="G238" s="126">
        <v>0</v>
      </c>
      <c r="H238" s="126">
        <v>0</v>
      </c>
    </row>
    <row r="239" ht="22.85" customHeight="1">
      <c r="A239" s="12"/>
      <c r="B239" s="13"/>
      <c r="C239" t="s" s="125">
        <v>762</v>
      </c>
      <c r="D239" s="126">
        <v>0</v>
      </c>
      <c r="E239" s="126">
        <v>5</v>
      </c>
      <c r="F239" s="126">
        <v>0</v>
      </c>
      <c r="G239" s="126">
        <v>0</v>
      </c>
      <c r="H239" s="126">
        <v>0</v>
      </c>
    </row>
    <row r="240" ht="22.85" customHeight="1">
      <c r="A240" s="12"/>
      <c r="B240" s="13"/>
      <c r="C240" t="s" s="125">
        <v>763</v>
      </c>
      <c r="D240" s="126">
        <v>0</v>
      </c>
      <c r="E240" s="126">
        <v>2</v>
      </c>
      <c r="F240" s="126">
        <v>0</v>
      </c>
      <c r="G240" s="126">
        <v>0</v>
      </c>
      <c r="H240" s="126">
        <v>0</v>
      </c>
    </row>
    <row r="241" ht="22.85" customHeight="1">
      <c r="A241" s="12"/>
      <c r="B241" s="13"/>
      <c r="C241" t="s" s="125">
        <v>764</v>
      </c>
      <c r="D241" s="126">
        <v>0</v>
      </c>
      <c r="E241" s="126">
        <v>5</v>
      </c>
      <c r="F241" s="126">
        <v>0</v>
      </c>
      <c r="G241" s="126">
        <v>0</v>
      </c>
      <c r="H241" s="126">
        <v>0</v>
      </c>
    </row>
    <row r="242" ht="22.85" customHeight="1">
      <c r="A242" s="12"/>
      <c r="B242" t="s" s="124">
        <v>765</v>
      </c>
      <c r="C242" t="s" s="125">
        <v>766</v>
      </c>
      <c r="D242" s="126">
        <v>0</v>
      </c>
      <c r="E242" s="126">
        <v>2</v>
      </c>
      <c r="F242" s="126">
        <v>3</v>
      </c>
      <c r="G242" s="126">
        <v>0</v>
      </c>
      <c r="H242" s="126">
        <v>0</v>
      </c>
    </row>
    <row r="243" ht="22.85" customHeight="1">
      <c r="A243" s="12"/>
      <c r="B243" s="13"/>
      <c r="C243" t="s" s="125">
        <v>767</v>
      </c>
      <c r="D243" s="126">
        <v>0</v>
      </c>
      <c r="E243" s="126">
        <v>6</v>
      </c>
      <c r="F243" s="126">
        <v>0</v>
      </c>
      <c r="G243" s="126">
        <v>0</v>
      </c>
      <c r="H243" s="126">
        <v>0</v>
      </c>
    </row>
    <row r="244" ht="22.85" customHeight="1">
      <c r="A244" s="12"/>
      <c r="B244" s="13"/>
      <c r="C244" t="s" s="125">
        <v>768</v>
      </c>
      <c r="D244" s="126">
        <v>0</v>
      </c>
      <c r="E244" s="126">
        <v>2</v>
      </c>
      <c r="F244" s="126">
        <v>0</v>
      </c>
      <c r="G244" s="126">
        <v>0</v>
      </c>
      <c r="H244" s="126">
        <v>0</v>
      </c>
    </row>
    <row r="245" ht="22.85" customHeight="1">
      <c r="A245" s="12"/>
      <c r="B245" s="13"/>
      <c r="C245" t="s" s="125">
        <v>769</v>
      </c>
      <c r="D245" s="126">
        <v>0</v>
      </c>
      <c r="E245" s="126">
        <v>7</v>
      </c>
      <c r="F245" s="126">
        <v>0</v>
      </c>
      <c r="G245" s="126">
        <v>0</v>
      </c>
      <c r="H245" s="126">
        <v>0</v>
      </c>
    </row>
    <row r="246" ht="22.85" customHeight="1">
      <c r="A246" s="12"/>
      <c r="B246" t="s" s="124">
        <v>770</v>
      </c>
      <c r="C246" t="s" s="125">
        <v>771</v>
      </c>
      <c r="D246" s="126">
        <v>0</v>
      </c>
      <c r="E246" s="126">
        <v>3</v>
      </c>
      <c r="F246" s="126">
        <v>0</v>
      </c>
      <c r="G246" s="126">
        <v>0</v>
      </c>
      <c r="H246" s="126">
        <v>0</v>
      </c>
    </row>
    <row r="247" ht="22.85" customHeight="1">
      <c r="A247" s="12"/>
      <c r="B247" s="13"/>
      <c r="C247" t="s" s="125">
        <v>772</v>
      </c>
      <c r="D247" s="126">
        <v>0</v>
      </c>
      <c r="E247" s="126">
        <v>2</v>
      </c>
      <c r="F247" s="126">
        <v>1</v>
      </c>
      <c r="G247" s="126">
        <v>0</v>
      </c>
      <c r="H247" s="126">
        <v>0</v>
      </c>
    </row>
    <row r="248" ht="22.85" customHeight="1">
      <c r="A248" s="12"/>
      <c r="B248" t="s" s="124">
        <v>773</v>
      </c>
      <c r="C248" t="s" s="125">
        <v>443</v>
      </c>
      <c r="D248" s="126">
        <v>1</v>
      </c>
      <c r="E248" s="126">
        <v>10</v>
      </c>
      <c r="F248" s="126">
        <v>0</v>
      </c>
      <c r="G248" s="126">
        <v>0</v>
      </c>
      <c r="H248" s="126">
        <v>0</v>
      </c>
    </row>
    <row r="249" ht="30.8" customHeight="1">
      <c r="A249" t="s" s="70">
        <v>448</v>
      </c>
      <c r="B249" s="13"/>
      <c r="C249" s="14"/>
      <c r="D249" s="71"/>
      <c r="E249" s="71"/>
      <c r="F249" s="71"/>
      <c r="G249" s="71"/>
      <c r="H249" s="71"/>
    </row>
    <row r="251" ht="31.55" customHeight="1">
      <c r="I251" t="s" s="73">
        <v>774</v>
      </c>
      <c r="J251" s="73"/>
      <c r="K251" s="73"/>
      <c r="L251" s="73"/>
      <c r="M251" s="73"/>
      <c r="N251" s="73"/>
      <c r="O251" s="73"/>
      <c r="P251" s="73"/>
    </row>
    <row r="252" ht="44.25" customHeight="1">
      <c r="I252" s="4"/>
      <c r="J252" t="s" s="74">
        <v>2</v>
      </c>
      <c r="K252" t="s" s="74">
        <v>3</v>
      </c>
      <c r="L252" t="s" s="74">
        <v>4</v>
      </c>
      <c r="M252" t="s" s="74">
        <v>450</v>
      </c>
      <c r="N252" t="s" s="74">
        <v>6</v>
      </c>
      <c r="O252" t="s" s="74">
        <v>451</v>
      </c>
      <c r="P252" t="s" s="74">
        <v>8</v>
      </c>
    </row>
    <row r="253" ht="20.25" customHeight="1">
      <c r="I253" t="s" s="75">
        <v>775</v>
      </c>
      <c r="J253" s="76">
        <v>5</v>
      </c>
      <c r="K253" s="77">
        <f>COUNTA(C4:C26)</f>
        <v>23</v>
      </c>
      <c r="L253" s="77">
        <f>SUM(D4:D26)</f>
        <v>17</v>
      </c>
      <c r="M253" s="77">
        <f>SUM(E4:E26)</f>
        <v>86</v>
      </c>
      <c r="N253" s="77">
        <f>SUM(F4:F26)</f>
        <v>67</v>
      </c>
      <c r="O253" s="77">
        <f>SUM(G4:G26)</f>
        <v>9</v>
      </c>
      <c r="P253" s="77">
        <f>SUM(H4:H26)</f>
        <v>15</v>
      </c>
    </row>
    <row r="254" ht="20.05" customHeight="1">
      <c r="I254" t="s" s="78">
        <v>454</v>
      </c>
      <c r="J254" s="79">
        <v>4</v>
      </c>
      <c r="K254" s="80">
        <f>COUNTA(C27:C32)</f>
        <v>6</v>
      </c>
      <c r="L254" s="80">
        <f>SUM(D27:D32)</f>
        <v>1</v>
      </c>
      <c r="M254" s="80">
        <f>SUM(E27:E32)</f>
        <v>45</v>
      </c>
      <c r="N254" s="80">
        <f>SUM(F27:F32)</f>
        <v>0</v>
      </c>
      <c r="O254" s="80">
        <f>SUM(G27:G32)</f>
        <v>0</v>
      </c>
      <c r="P254" s="80">
        <f>SUM(H27:H32)</f>
        <v>0</v>
      </c>
    </row>
    <row r="255" ht="20.05" customHeight="1">
      <c r="I255" t="s" s="78">
        <v>776</v>
      </c>
      <c r="J255" s="79">
        <v>4</v>
      </c>
      <c r="K255" s="80">
        <f>COUNTA(C33:C48)</f>
        <v>16</v>
      </c>
      <c r="L255" s="80">
        <f>SUM(D33:D48)</f>
        <v>4</v>
      </c>
      <c r="M255" s="80">
        <f>SUM(E33:E48)</f>
        <v>53</v>
      </c>
      <c r="N255" s="80">
        <f>SUM(F33:F48)</f>
        <v>34</v>
      </c>
      <c r="O255" s="80">
        <f>SUM(G33:G48)</f>
        <v>1</v>
      </c>
      <c r="P255" s="80">
        <f>SUM(H33:H48)</f>
        <v>3</v>
      </c>
    </row>
    <row r="256" ht="20.05" customHeight="1">
      <c r="I256" t="s" s="78">
        <v>777</v>
      </c>
      <c r="J256" s="79">
        <v>7</v>
      </c>
      <c r="K256" s="80">
        <f>COUNTA(C49:C67)</f>
        <v>19</v>
      </c>
      <c r="L256" s="80">
        <f>SUM(D49:D67)</f>
        <v>1</v>
      </c>
      <c r="M256" s="80">
        <f>SUM(E49:E67)</f>
        <v>84</v>
      </c>
      <c r="N256" s="80">
        <f>SUM(F49:F67)</f>
        <v>0</v>
      </c>
      <c r="O256" s="80">
        <f>SUM(G49:G67)</f>
        <v>1</v>
      </c>
      <c r="P256" s="80">
        <f>SUM(H49:H67)</f>
        <v>1</v>
      </c>
    </row>
    <row r="257" ht="20.05" customHeight="1">
      <c r="I257" t="s" s="78">
        <v>778</v>
      </c>
      <c r="J257" s="79">
        <v>4</v>
      </c>
      <c r="K257" s="80">
        <f>COUNTA(C68:C91)</f>
        <v>24</v>
      </c>
      <c r="L257" s="80">
        <f>SUM(D68:D91)</f>
        <v>10</v>
      </c>
      <c r="M257" s="80">
        <f>SUM(E68:E91)</f>
        <v>57</v>
      </c>
      <c r="N257" s="80">
        <f>SUM(F68:F91)</f>
        <v>63</v>
      </c>
      <c r="O257" s="80">
        <f>SUM(G68:G91)</f>
        <v>1</v>
      </c>
      <c r="P257" s="80">
        <f>SUM(H68:H91)</f>
        <v>3</v>
      </c>
    </row>
    <row r="258" ht="20.05" customHeight="1">
      <c r="I258" t="s" s="78">
        <v>779</v>
      </c>
      <c r="J258" s="79">
        <v>5</v>
      </c>
      <c r="K258" s="80">
        <f>COUNTA(C92:C111)</f>
        <v>20</v>
      </c>
      <c r="L258" s="80">
        <f>SUM(D92:D111)</f>
        <v>2</v>
      </c>
      <c r="M258" s="80">
        <f>SUM(E92:E111)</f>
        <v>94</v>
      </c>
      <c r="N258" s="80">
        <f>SUM(F92:F111)</f>
        <v>42</v>
      </c>
      <c r="O258" s="80">
        <f>SUM(G92:G111)</f>
        <v>0</v>
      </c>
      <c r="P258" s="80">
        <f>SUM(H92:H111)</f>
        <v>1</v>
      </c>
    </row>
    <row r="259" ht="20.05" customHeight="1">
      <c r="I259" t="s" s="78">
        <v>780</v>
      </c>
      <c r="J259" s="79">
        <v>3</v>
      </c>
      <c r="K259" s="80">
        <f>COUNTA(C112:C115)</f>
        <v>4</v>
      </c>
      <c r="L259" s="80">
        <f>SUM(D112:D115)</f>
        <v>0</v>
      </c>
      <c r="M259" s="80">
        <f>SUM(E112:E115)</f>
        <v>29</v>
      </c>
      <c r="N259" s="80">
        <f>SUM(F112:F115)</f>
        <v>0</v>
      </c>
      <c r="O259" s="80">
        <f>SUM(G112:G115)</f>
        <v>0</v>
      </c>
      <c r="P259" s="80">
        <f>SUM(H112:H115)</f>
        <v>0</v>
      </c>
    </row>
    <row r="260" ht="20.05" customHeight="1">
      <c r="I260" t="s" s="78">
        <v>781</v>
      </c>
      <c r="J260" s="79">
        <v>5</v>
      </c>
      <c r="K260" s="80">
        <f>COUNTA(C116:C136)</f>
        <v>21</v>
      </c>
      <c r="L260" s="80">
        <f>SUM(D116:D136)</f>
        <v>2</v>
      </c>
      <c r="M260" s="80">
        <f>SUM(E116:E136)</f>
        <v>109</v>
      </c>
      <c r="N260" s="80">
        <f>SUM(F116:F136)</f>
        <v>56</v>
      </c>
      <c r="O260" s="80">
        <f>SUM(G116:G136)</f>
        <v>3</v>
      </c>
      <c r="P260" s="80">
        <f>SUM(H116:H136)</f>
        <v>3</v>
      </c>
    </row>
    <row r="261" ht="20.05" customHeight="1">
      <c r="I261" t="s" s="78">
        <v>782</v>
      </c>
      <c r="J261" s="79">
        <v>6</v>
      </c>
      <c r="K261" s="80">
        <f>COUNTA(C137:C150)</f>
        <v>14</v>
      </c>
      <c r="L261" s="80">
        <f>SUM(D137:D150)</f>
        <v>1</v>
      </c>
      <c r="M261" s="80">
        <f>SUM(E137:E150)</f>
        <v>31</v>
      </c>
      <c r="N261" s="80">
        <f>SUM(F137:F150)</f>
        <v>38</v>
      </c>
      <c r="O261" s="80">
        <f>SUM(G137:G150)</f>
        <v>1</v>
      </c>
      <c r="P261" s="80">
        <f>SUM(H137:H150)</f>
        <v>1</v>
      </c>
    </row>
    <row r="262" ht="20.05" customHeight="1">
      <c r="I262" t="s" s="78">
        <v>783</v>
      </c>
      <c r="J262" s="79">
        <v>11</v>
      </c>
      <c r="K262" s="80">
        <f>COUNTA(C151:C180)</f>
        <v>30</v>
      </c>
      <c r="L262" s="80">
        <f>SUM(D151:D180)</f>
        <v>2</v>
      </c>
      <c r="M262" s="80">
        <f>SUM(E151:E180)</f>
        <v>135</v>
      </c>
      <c r="N262" s="80">
        <f>SUM(F151:F180)</f>
        <v>35</v>
      </c>
      <c r="O262" s="80">
        <f>SUM(G151:G180)</f>
        <v>0</v>
      </c>
      <c r="P262" s="80">
        <f>SUM(H151:H180)</f>
        <v>1</v>
      </c>
    </row>
    <row r="263" ht="20.05" customHeight="1">
      <c r="I263" t="s" s="78">
        <v>784</v>
      </c>
      <c r="J263" s="79">
        <v>8</v>
      </c>
      <c r="K263" s="80">
        <f>COUNTA(C181:C198)</f>
        <v>18</v>
      </c>
      <c r="L263" s="80">
        <f>SUM(D181:D198)</f>
        <v>0</v>
      </c>
      <c r="M263" s="80">
        <f>SUM(E181:E198)</f>
        <v>55</v>
      </c>
      <c r="N263" s="80">
        <f>SUM(F181:F198)</f>
        <v>15</v>
      </c>
      <c r="O263" s="80">
        <f>SUM(G181:G198)</f>
        <v>0</v>
      </c>
      <c r="P263" s="80">
        <f>SUM(H181:H198)</f>
        <v>1</v>
      </c>
    </row>
    <row r="264" ht="20.05" customHeight="1">
      <c r="I264" t="s" s="78">
        <v>785</v>
      </c>
      <c r="J264" s="79">
        <v>11</v>
      </c>
      <c r="K264" s="80">
        <f>COUNTA(C199:C220)</f>
        <v>22</v>
      </c>
      <c r="L264" s="80">
        <f>SUM(D199:D220)</f>
        <v>0</v>
      </c>
      <c r="M264" s="80">
        <f>SUM(E199:E220)</f>
        <v>99</v>
      </c>
      <c r="N264" s="80">
        <f>SUM(F199:F220)</f>
        <v>21</v>
      </c>
      <c r="O264" s="80">
        <f>SUM(G199:G220)</f>
        <v>0</v>
      </c>
      <c r="P264" s="80">
        <f>SUM(H199:H220)</f>
        <v>0</v>
      </c>
    </row>
    <row r="265" ht="20.35" customHeight="1">
      <c r="I265" t="s" s="128">
        <v>786</v>
      </c>
      <c r="J265" s="79">
        <v>5</v>
      </c>
      <c r="K265" s="80">
        <f>COUNTA(C221:C233)</f>
        <v>13</v>
      </c>
      <c r="L265" s="80">
        <f>SUM(D221:D233)</f>
        <v>0</v>
      </c>
      <c r="M265" s="80">
        <f>SUM(E221:E233)</f>
        <v>33</v>
      </c>
      <c r="N265" s="80">
        <f>SUM(F221:F233)</f>
        <v>3</v>
      </c>
      <c r="O265" s="80">
        <f>SUM(G221:G233)</f>
        <v>0</v>
      </c>
      <c r="P265" s="80">
        <f>SUM(H221:H233)</f>
        <v>0</v>
      </c>
    </row>
    <row r="266" ht="20.35" customHeight="1">
      <c r="I266" t="s" s="128">
        <v>787</v>
      </c>
      <c r="J266" s="79">
        <v>5</v>
      </c>
      <c r="K266" s="80">
        <f>COUNTA(C234:C248)</f>
        <v>15</v>
      </c>
      <c r="L266" s="80">
        <f>SUM(D234:D248)</f>
        <v>1</v>
      </c>
      <c r="M266" s="80">
        <f>SUM(E234:E248)</f>
        <v>61</v>
      </c>
      <c r="N266" s="80">
        <f>SUM(F234:F248)</f>
        <v>4</v>
      </c>
      <c r="O266" s="80">
        <f>SUM(G234:G248)</f>
        <v>0</v>
      </c>
      <c r="P266" s="80">
        <f>SUM(H234:H248)</f>
        <v>0</v>
      </c>
    </row>
    <row r="267" ht="20.05" customHeight="1">
      <c r="I267" t="s" s="81">
        <v>448</v>
      </c>
      <c r="J267" s="82">
        <f>SUM(J253:J264)</f>
        <v>73</v>
      </c>
      <c r="K267" s="62">
        <f>SUM(K253:K266)</f>
        <v>245</v>
      </c>
      <c r="L267" s="129">
        <f>SUM(L253:L266)</f>
        <v>41</v>
      </c>
      <c r="M267" s="62">
        <f>SUM(M253:M266)</f>
        <v>971</v>
      </c>
      <c r="N267" s="62">
        <f>SUM(N253:N266)</f>
        <v>378</v>
      </c>
      <c r="O267" s="129">
        <f>SUM(O253:O266)</f>
        <v>16</v>
      </c>
      <c r="P267" s="62">
        <f>SUM(P253:P266)</f>
        <v>29</v>
      </c>
    </row>
    <row r="268" ht="20.05" customHeight="1">
      <c r="I268" t="s" s="78">
        <v>466</v>
      </c>
      <c r="J268" s="85"/>
      <c r="K268" s="71"/>
      <c r="L268" s="71"/>
      <c r="M268" s="80">
        <f>SUM(M267:N267)</f>
        <v>1349</v>
      </c>
      <c r="N268" s="14"/>
      <c r="O268" s="129">
        <f>SUM(L267+O267)</f>
        <v>57</v>
      </c>
      <c r="P268" s="130"/>
    </row>
  </sheetData>
  <mergeCells count="89">
    <mergeCell ref="A1:H1"/>
    <mergeCell ref="B7:B12"/>
    <mergeCell ref="B13:B17"/>
    <mergeCell ref="B18:B19"/>
    <mergeCell ref="B27:B29"/>
    <mergeCell ref="B49:B51"/>
    <mergeCell ref="B52:B53"/>
    <mergeCell ref="B54:B56"/>
    <mergeCell ref="B57:B58"/>
    <mergeCell ref="A68:A91"/>
    <mergeCell ref="B155:B156"/>
    <mergeCell ref="B157:B159"/>
    <mergeCell ref="B161:B163"/>
    <mergeCell ref="B160"/>
    <mergeCell ref="B112"/>
    <mergeCell ref="B113"/>
    <mergeCell ref="B114:B115"/>
    <mergeCell ref="A112:A115"/>
    <mergeCell ref="B123:B126"/>
    <mergeCell ref="B132:B136"/>
    <mergeCell ref="B186"/>
    <mergeCell ref="B199:B200"/>
    <mergeCell ref="B201:B202"/>
    <mergeCell ref="B204"/>
    <mergeCell ref="B203"/>
    <mergeCell ref="B205"/>
    <mergeCell ref="B206"/>
    <mergeCell ref="B207:B208"/>
    <mergeCell ref="B209:B212"/>
    <mergeCell ref="B213"/>
    <mergeCell ref="B214:B217"/>
    <mergeCell ref="B218:B220"/>
    <mergeCell ref="B144:B145"/>
    <mergeCell ref="B146:B147"/>
    <mergeCell ref="B148:B150"/>
    <mergeCell ref="A234:A248"/>
    <mergeCell ref="B242:B245"/>
    <mergeCell ref="B246:B247"/>
    <mergeCell ref="B238:B241"/>
    <mergeCell ref="B234:B237"/>
    <mergeCell ref="B221:B223"/>
    <mergeCell ref="B224:B227"/>
    <mergeCell ref="B228:B229"/>
    <mergeCell ref="B231:B233"/>
    <mergeCell ref="B191:B193"/>
    <mergeCell ref="B194:B195"/>
    <mergeCell ref="B196:B198"/>
    <mergeCell ref="B189:B190"/>
    <mergeCell ref="B151:B154"/>
    <mergeCell ref="B174:B177"/>
    <mergeCell ref="B172:B173"/>
    <mergeCell ref="B178:B180"/>
    <mergeCell ref="B164:B166"/>
    <mergeCell ref="B167:B168"/>
    <mergeCell ref="A151:A180"/>
    <mergeCell ref="B120:B122"/>
    <mergeCell ref="B116:B119"/>
    <mergeCell ref="B59"/>
    <mergeCell ref="B60:B64"/>
    <mergeCell ref="A33:A48"/>
    <mergeCell ref="A27:A32"/>
    <mergeCell ref="B68:B78"/>
    <mergeCell ref="B79:B82"/>
    <mergeCell ref="B83:B85"/>
    <mergeCell ref="B86:B91"/>
    <mergeCell ref="B20:B26"/>
    <mergeCell ref="B187"/>
    <mergeCell ref="B65:B67"/>
    <mergeCell ref="A49:A67"/>
    <mergeCell ref="A221:A233"/>
    <mergeCell ref="A199:A220"/>
    <mergeCell ref="B169:B171"/>
    <mergeCell ref="B181:B185"/>
    <mergeCell ref="B127:B131"/>
    <mergeCell ref="A181:A198"/>
    <mergeCell ref="A137:A150"/>
    <mergeCell ref="B137:B138"/>
    <mergeCell ref="B139:B142"/>
    <mergeCell ref="B4:B6"/>
    <mergeCell ref="A4:A26"/>
    <mergeCell ref="B45:B48"/>
    <mergeCell ref="A116:A136"/>
    <mergeCell ref="B92:B96"/>
    <mergeCell ref="B98:B99"/>
    <mergeCell ref="B101:B102"/>
    <mergeCell ref="B103:B109"/>
    <mergeCell ref="A92:A111"/>
    <mergeCell ref="I251:P251"/>
    <mergeCell ref="M268:N268"/>
  </mergeCells>
  <pageMargins left="0.5" right="0.5" top="0.75" bottom="0.75" header="0.277778" footer="0.277778"/>
  <pageSetup firstPageNumber="1" fitToHeight="1" fitToWidth="1" scale="68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B3:E11"/>
  <sheetViews>
    <sheetView workbookViewId="0" showGridLines="0" defaultGridColor="1">
      <pane topLeftCell="A4" xSplit="0" ySplit="3" activePane="bottomLeft" state="frozen"/>
    </sheetView>
  </sheetViews>
  <sheetFormatPr defaultColWidth="16.3333" defaultRowHeight="19.9" customHeight="1" outlineLevelRow="0" outlineLevelCol="0"/>
  <cols>
    <col min="1" max="1" width="6.14062" style="131" customWidth="1"/>
    <col min="2" max="2" width="23.4688" style="131" customWidth="1"/>
    <col min="3" max="5" width="11.7422" style="131" customWidth="1"/>
    <col min="6" max="16384" width="16.3516" style="131" customWidth="1"/>
  </cols>
  <sheetData>
    <row r="1" ht="9.85" customHeight="1"/>
    <row r="2" ht="28.65" customHeight="1">
      <c r="B2" t="s" s="132">
        <v>788</v>
      </c>
      <c r="C2" s="132"/>
      <c r="D2" s="132"/>
      <c r="E2" s="132"/>
    </row>
    <row r="3" ht="20.25" customHeight="1">
      <c r="B3" s="4"/>
      <c r="C3" t="s" s="74">
        <v>789</v>
      </c>
      <c r="D3" t="s" s="74">
        <v>790</v>
      </c>
      <c r="E3" t="s" s="74">
        <v>791</v>
      </c>
    </row>
    <row r="4" ht="20.25" customHeight="1">
      <c r="B4" t="s" s="7">
        <v>2</v>
      </c>
      <c r="C4" s="77">
        <f>'Civil'!J267</f>
        <v>73</v>
      </c>
      <c r="D4" s="77">
        <f>'Other'!J323</f>
        <v>95</v>
      </c>
      <c r="E4" s="77">
        <f>'Mechanical'!J369</f>
        <v>117</v>
      </c>
    </row>
    <row r="5" ht="20.05" customHeight="1">
      <c r="B5" t="s" s="133">
        <v>3</v>
      </c>
      <c r="C5" s="80">
        <f>'Civil'!K267</f>
        <v>245</v>
      </c>
      <c r="D5" s="80">
        <f>'Other'!K323</f>
        <v>301</v>
      </c>
      <c r="E5" s="80">
        <f>'Mechanical'!K369</f>
        <v>339</v>
      </c>
    </row>
    <row r="6" ht="20.05" customHeight="1">
      <c r="B6" t="s" s="133">
        <v>4</v>
      </c>
      <c r="C6" s="80">
        <f>'Civil'!L267</f>
        <v>41</v>
      </c>
      <c r="D6" s="80">
        <f>'Other'!L323</f>
        <v>79</v>
      </c>
      <c r="E6" s="80">
        <f>'Mechanical'!L369</f>
        <v>94</v>
      </c>
    </row>
    <row r="7" ht="20.05" customHeight="1">
      <c r="B7" t="s" s="133">
        <v>5</v>
      </c>
      <c r="C7" s="80">
        <f>'Civil'!M267</f>
        <v>971</v>
      </c>
      <c r="D7" s="80">
        <f>'Other'!M323</f>
        <v>1202</v>
      </c>
      <c r="E7" s="80">
        <f>'Mechanical'!M369</f>
        <v>1770</v>
      </c>
    </row>
    <row r="8" ht="20.05" customHeight="1">
      <c r="B8" t="s" s="133">
        <v>6</v>
      </c>
      <c r="C8" s="80">
        <f>'Civil'!N267</f>
        <v>378</v>
      </c>
      <c r="D8" s="80">
        <f>'Other'!N323</f>
        <v>691</v>
      </c>
      <c r="E8" s="80">
        <f>'Mechanical'!N369</f>
        <v>844</v>
      </c>
    </row>
    <row r="9" ht="20.05" customHeight="1">
      <c r="B9" t="s" s="133">
        <v>7</v>
      </c>
      <c r="C9" s="80">
        <f>'Civil'!O267</f>
        <v>16</v>
      </c>
      <c r="D9" s="80">
        <f>'Other'!O323</f>
        <v>26</v>
      </c>
      <c r="E9" s="80">
        <f>'Mechanical'!O369</f>
        <v>30</v>
      </c>
    </row>
    <row r="10" ht="20.05" customHeight="1">
      <c r="B10" t="s" s="133">
        <v>8</v>
      </c>
      <c r="C10" s="80">
        <f>'Civil'!P267</f>
        <v>29</v>
      </c>
      <c r="D10" s="80">
        <f>'Other'!P323</f>
        <v>43</v>
      </c>
      <c r="E10" s="80">
        <f>'Mechanical'!P369</f>
        <v>50</v>
      </c>
    </row>
    <row r="11" ht="20.05" customHeight="1">
      <c r="B11" t="s" s="133">
        <v>792</v>
      </c>
      <c r="C11" t="s" s="134">
        <v>793</v>
      </c>
      <c r="D11" t="s" s="134">
        <v>793</v>
      </c>
      <c r="E11" t="s" s="134">
        <v>793</v>
      </c>
    </row>
  </sheetData>
  <mergeCells count="1">
    <mergeCell ref="B2:E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N24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7578" style="135" customWidth="1"/>
    <col min="2" max="2" width="47.2188" style="135" customWidth="1"/>
    <col min="3" max="3" width="34.1406" style="135" customWidth="1"/>
    <col min="4" max="7" width="16.3516" style="135" customWidth="1"/>
    <col min="8" max="8" width="40.8203" style="169" customWidth="1"/>
    <col min="9" max="14" width="16.3516" style="169" customWidth="1"/>
    <col min="15" max="16384" width="16.3516" style="169" customWidth="1"/>
  </cols>
  <sheetData>
    <row r="1" ht="37.4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4"/>
      <c r="E2" s="4"/>
      <c r="F2" s="4"/>
      <c r="G2" s="4"/>
    </row>
    <row r="3" ht="32.25" customHeight="1">
      <c r="A3" t="s" s="5">
        <v>1</v>
      </c>
      <c r="B3" t="s" s="6">
        <v>2</v>
      </c>
      <c r="C3" t="s" s="7">
        <v>3</v>
      </c>
      <c r="D3" t="s" s="7">
        <v>4</v>
      </c>
      <c r="E3" t="s" s="7">
        <v>794</v>
      </c>
      <c r="F3" t="s" s="7">
        <v>7</v>
      </c>
      <c r="G3" t="s" s="7">
        <v>8</v>
      </c>
    </row>
    <row r="4" ht="20.4" customHeight="1">
      <c r="A4" t="s" s="8">
        <v>9</v>
      </c>
      <c r="B4" t="s" s="9">
        <v>10</v>
      </c>
      <c r="C4" t="s" s="10">
        <v>12</v>
      </c>
      <c r="D4" s="11">
        <v>0</v>
      </c>
      <c r="E4" s="11">
        <v>3</v>
      </c>
      <c r="F4" s="11">
        <v>0</v>
      </c>
      <c r="G4" s="11">
        <v>1</v>
      </c>
    </row>
    <row r="5" ht="20.4" customHeight="1">
      <c r="A5" s="12"/>
      <c r="B5" s="13"/>
      <c r="C5" t="s" s="10">
        <v>13</v>
      </c>
      <c r="D5" s="11">
        <v>0</v>
      </c>
      <c r="E5" s="11">
        <v>3</v>
      </c>
      <c r="F5" s="11">
        <v>0</v>
      </c>
      <c r="G5" s="11">
        <v>0</v>
      </c>
    </row>
    <row r="6" ht="20.4" customHeight="1">
      <c r="A6" s="12"/>
      <c r="B6" s="13"/>
      <c r="C6" t="s" s="10">
        <v>15</v>
      </c>
      <c r="D6" s="11">
        <v>0</v>
      </c>
      <c r="E6" s="11">
        <v>2</v>
      </c>
      <c r="F6" s="11">
        <v>0</v>
      </c>
      <c r="G6" s="11">
        <v>0</v>
      </c>
    </row>
    <row r="7" ht="20.4" customHeight="1">
      <c r="A7" s="12"/>
      <c r="B7" t="s" s="9">
        <v>795</v>
      </c>
      <c r="C7" t="s" s="10">
        <v>796</v>
      </c>
      <c r="D7" s="11">
        <v>0</v>
      </c>
      <c r="E7" s="11">
        <v>4</v>
      </c>
      <c r="F7" s="11">
        <v>0</v>
      </c>
      <c r="G7" s="11">
        <v>0</v>
      </c>
    </row>
    <row r="8" ht="20.4" customHeight="1">
      <c r="A8" s="12"/>
      <c r="B8" s="13"/>
      <c r="C8" t="s" s="10">
        <v>11</v>
      </c>
      <c r="D8" s="11">
        <v>3</v>
      </c>
      <c r="E8" s="11">
        <v>2</v>
      </c>
      <c r="F8" s="11">
        <v>0</v>
      </c>
      <c r="G8" s="11">
        <v>0</v>
      </c>
    </row>
    <row r="9" ht="20.4" customHeight="1">
      <c r="A9" s="12"/>
      <c r="B9" t="s" s="9">
        <v>797</v>
      </c>
      <c r="C9" t="s" s="10">
        <v>14</v>
      </c>
      <c r="D9" s="11">
        <v>0</v>
      </c>
      <c r="E9" s="11">
        <v>2</v>
      </c>
      <c r="F9" s="11">
        <v>0</v>
      </c>
      <c r="G9" s="11">
        <v>0</v>
      </c>
    </row>
    <row r="10" ht="20.4" customHeight="1">
      <c r="A10" s="12"/>
      <c r="B10" s="13"/>
      <c r="C10" t="s" s="10">
        <v>798</v>
      </c>
      <c r="D10" s="11">
        <v>0</v>
      </c>
      <c r="E10" s="11">
        <v>2</v>
      </c>
      <c r="F10" s="11">
        <v>0</v>
      </c>
      <c r="G10" s="11">
        <v>1</v>
      </c>
    </row>
    <row r="11" ht="20.4" customHeight="1">
      <c r="A11" s="12"/>
      <c r="B11" s="13"/>
      <c r="C11" t="s" s="10">
        <v>799</v>
      </c>
      <c r="D11" s="11">
        <v>1</v>
      </c>
      <c r="E11" s="11">
        <v>1</v>
      </c>
      <c r="F11" s="11">
        <v>0</v>
      </c>
      <c r="G11" s="11">
        <v>0</v>
      </c>
    </row>
    <row r="12" ht="20.4" customHeight="1">
      <c r="A12" s="12"/>
      <c r="B12" s="13"/>
      <c r="C12" t="s" s="10">
        <v>800</v>
      </c>
      <c r="D12" s="11">
        <v>0</v>
      </c>
      <c r="E12" s="11">
        <v>2</v>
      </c>
      <c r="F12" s="11">
        <v>0</v>
      </c>
      <c r="G12" s="11">
        <v>0</v>
      </c>
    </row>
    <row r="13" ht="20.4" customHeight="1">
      <c r="A13" s="12"/>
      <c r="B13" s="13"/>
      <c r="C13" t="s" s="10">
        <v>801</v>
      </c>
      <c r="D13" s="11">
        <v>0</v>
      </c>
      <c r="E13" s="11">
        <v>2</v>
      </c>
      <c r="F13" s="11">
        <v>0</v>
      </c>
      <c r="G13" s="11">
        <v>1</v>
      </c>
    </row>
    <row r="14" ht="20.4" customHeight="1">
      <c r="A14" s="12"/>
      <c r="B14" t="s" s="9">
        <v>802</v>
      </c>
      <c r="C14" t="s" s="10">
        <v>803</v>
      </c>
      <c r="D14" s="11">
        <v>0</v>
      </c>
      <c r="E14" s="11">
        <v>3</v>
      </c>
      <c r="F14" s="11">
        <v>0</v>
      </c>
      <c r="G14" s="11">
        <v>0</v>
      </c>
    </row>
    <row r="15" ht="20.4" customHeight="1">
      <c r="A15" s="12"/>
      <c r="B15" s="13"/>
      <c r="C15" t="s" s="10">
        <v>804</v>
      </c>
      <c r="D15" s="11">
        <v>0</v>
      </c>
      <c r="E15" s="11">
        <v>1</v>
      </c>
      <c r="F15" s="11">
        <v>0</v>
      </c>
      <c r="G15" s="11">
        <v>0</v>
      </c>
    </row>
    <row r="16" ht="20.4" customHeight="1">
      <c r="A16" s="12"/>
      <c r="B16" s="13"/>
      <c r="C16" t="s" s="10">
        <v>805</v>
      </c>
      <c r="D16" s="11">
        <v>0</v>
      </c>
      <c r="E16" s="11">
        <v>1</v>
      </c>
      <c r="F16" s="11">
        <v>0</v>
      </c>
      <c r="G16" s="11">
        <v>0</v>
      </c>
    </row>
    <row r="17" ht="20.05" customHeight="1">
      <c r="A17" s="12"/>
      <c r="B17" t="s" s="9">
        <v>16</v>
      </c>
      <c r="C17" t="s" s="10">
        <v>17</v>
      </c>
      <c r="D17" s="11">
        <v>1</v>
      </c>
      <c r="E17" s="11">
        <v>8</v>
      </c>
      <c r="F17" s="11">
        <v>3</v>
      </c>
      <c r="G17" s="11">
        <v>1</v>
      </c>
    </row>
    <row r="18" ht="20.05" customHeight="1">
      <c r="A18" s="12"/>
      <c r="B18" s="13"/>
      <c r="C18" t="s" s="10">
        <v>18</v>
      </c>
      <c r="D18" s="11">
        <v>3</v>
      </c>
      <c r="E18" s="11">
        <v>3</v>
      </c>
      <c r="F18" s="11">
        <v>0</v>
      </c>
      <c r="G18" s="11">
        <v>0</v>
      </c>
    </row>
    <row r="19" ht="20.05" customHeight="1">
      <c r="A19" s="12"/>
      <c r="B19" s="13"/>
      <c r="C19" t="s" s="10">
        <v>19</v>
      </c>
      <c r="D19" s="11">
        <v>2</v>
      </c>
      <c r="E19" s="11">
        <v>15</v>
      </c>
      <c r="F19" s="11">
        <v>2</v>
      </c>
      <c r="G19" s="11">
        <v>1</v>
      </c>
    </row>
    <row r="20" ht="20.05" customHeight="1">
      <c r="A20" s="12"/>
      <c r="B20" s="13"/>
      <c r="C20" t="s" s="10">
        <v>20</v>
      </c>
      <c r="D20" s="11">
        <v>1</v>
      </c>
      <c r="E20" s="11">
        <v>9</v>
      </c>
      <c r="F20" s="11">
        <v>1</v>
      </c>
      <c r="G20" s="11">
        <v>1</v>
      </c>
    </row>
    <row r="21" ht="20.05" customHeight="1">
      <c r="A21" s="12"/>
      <c r="B21" s="13"/>
      <c r="C21" t="s" s="10">
        <v>21</v>
      </c>
      <c r="D21" s="11">
        <v>1</v>
      </c>
      <c r="E21" s="11">
        <v>10</v>
      </c>
      <c r="F21" s="11">
        <v>0</v>
      </c>
      <c r="G21" s="11">
        <v>1</v>
      </c>
    </row>
    <row r="22" ht="20.05" customHeight="1">
      <c r="A22" s="12"/>
      <c r="B22" s="13"/>
      <c r="C22" t="s" s="10">
        <v>22</v>
      </c>
      <c r="D22" s="11">
        <v>1</v>
      </c>
      <c r="E22" s="11">
        <v>6</v>
      </c>
      <c r="F22" s="11">
        <v>1</v>
      </c>
      <c r="G22" s="11">
        <v>1</v>
      </c>
    </row>
    <row r="23" ht="20.05" customHeight="1">
      <c r="A23" s="12"/>
      <c r="B23" s="13"/>
      <c r="C23" t="s" s="10">
        <v>806</v>
      </c>
      <c r="D23" s="11">
        <v>0</v>
      </c>
      <c r="E23" s="11">
        <v>2</v>
      </c>
      <c r="F23" s="11">
        <v>0</v>
      </c>
      <c r="G23" s="11">
        <v>1</v>
      </c>
    </row>
    <row r="24" ht="20.05" customHeight="1">
      <c r="A24" s="12"/>
      <c r="B24" t="s" s="9">
        <v>23</v>
      </c>
      <c r="C24" t="s" s="10">
        <v>24</v>
      </c>
      <c r="D24" s="11">
        <v>1</v>
      </c>
      <c r="E24" s="11">
        <v>14</v>
      </c>
      <c r="F24" s="11">
        <v>1</v>
      </c>
      <c r="G24" s="11">
        <v>1</v>
      </c>
    </row>
    <row r="25" ht="20.05" customHeight="1">
      <c r="A25" s="12"/>
      <c r="B25" s="13"/>
      <c r="C25" t="s" s="10">
        <v>25</v>
      </c>
      <c r="D25" s="11">
        <v>1</v>
      </c>
      <c r="E25" s="11">
        <v>4</v>
      </c>
      <c r="F25" s="11">
        <v>0</v>
      </c>
      <c r="G25" s="11">
        <v>1</v>
      </c>
    </row>
    <row r="26" ht="20.05" customHeight="1">
      <c r="A26" s="12"/>
      <c r="B26" s="13"/>
      <c r="C26" t="s" s="10">
        <v>26</v>
      </c>
      <c r="D26" s="11">
        <v>2</v>
      </c>
      <c r="E26" s="11">
        <v>3</v>
      </c>
      <c r="F26" s="11">
        <v>0</v>
      </c>
      <c r="G26" s="11">
        <v>1</v>
      </c>
    </row>
    <row r="27" ht="20.05" customHeight="1">
      <c r="A27" s="12"/>
      <c r="B27" s="13"/>
      <c r="C27" t="s" s="10">
        <v>27</v>
      </c>
      <c r="D27" s="11">
        <v>0</v>
      </c>
      <c r="E27" s="11">
        <v>4</v>
      </c>
      <c r="F27" s="11">
        <v>1</v>
      </c>
      <c r="G27" s="11">
        <v>1</v>
      </c>
    </row>
    <row r="28" ht="20.05" customHeight="1">
      <c r="A28" s="12"/>
      <c r="B28" s="13"/>
      <c r="C28" t="s" s="10">
        <v>28</v>
      </c>
      <c r="D28" s="11">
        <v>0</v>
      </c>
      <c r="E28" s="11">
        <v>3</v>
      </c>
      <c r="F28" s="11">
        <v>0</v>
      </c>
      <c r="G28" s="11">
        <v>0</v>
      </c>
    </row>
    <row r="29" ht="20.05" customHeight="1">
      <c r="A29" s="12"/>
      <c r="B29" s="13"/>
      <c r="C29" t="s" s="10">
        <v>807</v>
      </c>
      <c r="D29" s="11">
        <v>1</v>
      </c>
      <c r="E29" s="11">
        <v>2</v>
      </c>
      <c r="F29" s="11">
        <v>0</v>
      </c>
      <c r="G29" s="11">
        <v>0</v>
      </c>
    </row>
    <row r="30" ht="20.05" customHeight="1">
      <c r="A30" s="12"/>
      <c r="B30" s="13"/>
      <c r="C30" t="s" s="10">
        <v>808</v>
      </c>
      <c r="D30" s="11">
        <v>0</v>
      </c>
      <c r="E30" s="11">
        <v>2</v>
      </c>
      <c r="F30" s="11">
        <v>0</v>
      </c>
      <c r="G30" s="11">
        <v>1</v>
      </c>
    </row>
    <row r="31" ht="20.05" customHeight="1">
      <c r="A31" s="12"/>
      <c r="B31" s="13"/>
      <c r="C31" t="s" s="10">
        <v>593</v>
      </c>
      <c r="D31" s="11">
        <v>1</v>
      </c>
      <c r="E31" s="11">
        <v>5</v>
      </c>
      <c r="F31" s="11">
        <v>0</v>
      </c>
      <c r="G31" s="11">
        <v>1</v>
      </c>
    </row>
    <row r="32" ht="20.05" customHeight="1">
      <c r="A32" s="12"/>
      <c r="B32" t="s" s="88">
        <v>809</v>
      </c>
      <c r="C32" t="s" s="10">
        <v>30</v>
      </c>
      <c r="D32" s="11">
        <v>1</v>
      </c>
      <c r="E32" s="11">
        <v>3</v>
      </c>
      <c r="F32" s="11">
        <v>0</v>
      </c>
      <c r="G32" s="11">
        <v>0</v>
      </c>
    </row>
    <row r="33" ht="20.05" customHeight="1">
      <c r="A33" s="12"/>
      <c r="B33" s="13"/>
      <c r="C33" t="s" s="10">
        <v>31</v>
      </c>
      <c r="D33" s="11">
        <v>1</v>
      </c>
      <c r="E33" s="11">
        <v>10</v>
      </c>
      <c r="F33" s="11">
        <v>0</v>
      </c>
      <c r="G33" s="11">
        <v>0</v>
      </c>
    </row>
    <row r="34" ht="20.05" customHeight="1">
      <c r="A34" s="12"/>
      <c r="B34" s="13"/>
      <c r="C34" t="s" s="10">
        <v>810</v>
      </c>
      <c r="D34" s="11">
        <v>2</v>
      </c>
      <c r="E34" s="11">
        <v>3</v>
      </c>
      <c r="F34" s="11">
        <v>1</v>
      </c>
      <c r="G34" s="11">
        <v>0</v>
      </c>
    </row>
    <row r="35" ht="20.05" customHeight="1">
      <c r="A35" s="12"/>
      <c r="B35" s="13"/>
      <c r="C35" t="s" s="10">
        <v>811</v>
      </c>
      <c r="D35" s="11">
        <v>0</v>
      </c>
      <c r="E35" s="11">
        <v>7</v>
      </c>
      <c r="F35" s="11">
        <v>0</v>
      </c>
      <c r="G35" s="11">
        <v>0</v>
      </c>
    </row>
    <row r="36" ht="20.05" customHeight="1">
      <c r="A36" s="12"/>
      <c r="B36" s="13"/>
      <c r="C36" t="s" s="10">
        <v>812</v>
      </c>
      <c r="D36" s="11">
        <v>0</v>
      </c>
      <c r="E36" s="11">
        <v>11</v>
      </c>
      <c r="F36" s="11">
        <v>1</v>
      </c>
      <c r="G36" s="11">
        <v>0</v>
      </c>
    </row>
    <row r="37" ht="20.05" customHeight="1">
      <c r="A37" s="12"/>
      <c r="B37" s="13"/>
      <c r="C37" t="s" s="10">
        <v>33</v>
      </c>
      <c r="D37" s="11">
        <v>1</v>
      </c>
      <c r="E37" s="11">
        <v>10</v>
      </c>
      <c r="F37" s="11">
        <v>1</v>
      </c>
      <c r="G37" s="11">
        <v>1</v>
      </c>
    </row>
    <row r="38" ht="20.05" customHeight="1">
      <c r="A38" s="12"/>
      <c r="B38" t="s" s="9">
        <v>34</v>
      </c>
      <c r="C38" t="s" s="10">
        <v>813</v>
      </c>
      <c r="D38" s="11">
        <v>1</v>
      </c>
      <c r="E38" s="11">
        <v>2</v>
      </c>
      <c r="F38" s="11">
        <v>0</v>
      </c>
      <c r="G38" s="11">
        <v>0</v>
      </c>
    </row>
    <row r="39" ht="20.05" customHeight="1">
      <c r="A39" s="12"/>
      <c r="B39" s="13"/>
      <c r="C39" t="s" s="10">
        <v>35</v>
      </c>
      <c r="D39" s="11">
        <v>0</v>
      </c>
      <c r="E39" s="11">
        <v>1</v>
      </c>
      <c r="F39" s="11">
        <v>0</v>
      </c>
      <c r="G39" s="11">
        <v>0</v>
      </c>
    </row>
    <row r="40" ht="20.05" customHeight="1">
      <c r="A40" s="12"/>
      <c r="B40" s="13"/>
      <c r="C40" t="s" s="10">
        <v>36</v>
      </c>
      <c r="D40" s="11">
        <v>0</v>
      </c>
      <c r="E40" s="11">
        <v>8</v>
      </c>
      <c r="F40" s="11">
        <v>0</v>
      </c>
      <c r="G40" s="11">
        <v>0</v>
      </c>
    </row>
    <row r="41" ht="20.05" customHeight="1">
      <c r="A41" s="12"/>
      <c r="B41" t="s" s="9">
        <v>529</v>
      </c>
      <c r="C41" t="s" s="10">
        <v>37</v>
      </c>
      <c r="D41" s="11">
        <v>1</v>
      </c>
      <c r="E41" s="11">
        <v>2</v>
      </c>
      <c r="F41" s="11">
        <v>0</v>
      </c>
      <c r="G41" s="11">
        <v>0</v>
      </c>
    </row>
    <row r="42" ht="20.05" customHeight="1">
      <c r="A42" s="12"/>
      <c r="B42" s="13"/>
      <c r="C42" t="s" s="10">
        <v>814</v>
      </c>
      <c r="D42" s="11">
        <v>0</v>
      </c>
      <c r="E42" s="11">
        <v>1</v>
      </c>
      <c r="F42" s="11">
        <v>0</v>
      </c>
      <c r="G42" s="11">
        <v>0</v>
      </c>
    </row>
    <row r="43" ht="20.05" customHeight="1">
      <c r="A43" s="12"/>
      <c r="B43" s="13"/>
      <c r="C43" t="s" s="10">
        <v>38</v>
      </c>
      <c r="D43" s="11">
        <v>2</v>
      </c>
      <c r="E43" s="11">
        <v>10</v>
      </c>
      <c r="F43" s="11">
        <v>1</v>
      </c>
      <c r="G43" s="11">
        <v>0</v>
      </c>
    </row>
    <row r="44" ht="20.05" customHeight="1">
      <c r="A44" s="12"/>
      <c r="B44" s="13"/>
      <c r="C44" t="s" s="10">
        <v>39</v>
      </c>
      <c r="D44" s="11">
        <v>1</v>
      </c>
      <c r="E44" s="11">
        <v>14</v>
      </c>
      <c r="F44" s="11">
        <v>0</v>
      </c>
      <c r="G44" s="11">
        <v>1</v>
      </c>
    </row>
    <row r="45" ht="20.05" customHeight="1">
      <c r="A45" t="s" s="15">
        <v>50</v>
      </c>
      <c r="B45" t="s" s="16">
        <v>51</v>
      </c>
      <c r="C45" t="s" s="17">
        <v>52</v>
      </c>
      <c r="D45" s="18">
        <v>1</v>
      </c>
      <c r="E45" s="18">
        <v>6</v>
      </c>
      <c r="F45" s="18">
        <v>0</v>
      </c>
      <c r="G45" s="18">
        <v>1</v>
      </c>
    </row>
    <row r="46" ht="20.05" customHeight="1">
      <c r="A46" s="12"/>
      <c r="B46" s="13"/>
      <c r="C46" t="s" s="17">
        <v>53</v>
      </c>
      <c r="D46" s="18">
        <v>0</v>
      </c>
      <c r="E46" s="18">
        <v>4</v>
      </c>
      <c r="F46" s="18">
        <v>0</v>
      </c>
      <c r="G46" s="18">
        <v>0</v>
      </c>
    </row>
    <row r="47" ht="20.05" customHeight="1">
      <c r="A47" s="12"/>
      <c r="B47" t="s" s="16">
        <v>815</v>
      </c>
      <c r="C47" t="s" s="17">
        <v>596</v>
      </c>
      <c r="D47" s="18">
        <v>2</v>
      </c>
      <c r="E47" s="18">
        <v>8</v>
      </c>
      <c r="F47" s="18">
        <v>0</v>
      </c>
      <c r="G47" s="18">
        <v>1</v>
      </c>
    </row>
    <row r="48" ht="20.05" customHeight="1">
      <c r="A48" s="12"/>
      <c r="B48" s="13"/>
      <c r="C48" t="s" s="17">
        <v>61</v>
      </c>
      <c r="D48" s="18">
        <v>1</v>
      </c>
      <c r="E48" s="18">
        <v>6</v>
      </c>
      <c r="F48" s="18">
        <v>1</v>
      </c>
      <c r="G48" s="18">
        <v>1</v>
      </c>
    </row>
    <row r="49" ht="20.05" customHeight="1">
      <c r="A49" s="12"/>
      <c r="B49" s="13"/>
      <c r="C49" t="s" s="17">
        <v>62</v>
      </c>
      <c r="D49" s="18">
        <v>1</v>
      </c>
      <c r="E49" s="18">
        <v>4</v>
      </c>
      <c r="F49" s="18">
        <v>0</v>
      </c>
      <c r="G49" s="18">
        <v>1</v>
      </c>
    </row>
    <row r="50" ht="20.05" customHeight="1">
      <c r="A50" s="12"/>
      <c r="B50" s="13"/>
      <c r="C50" t="s" s="17">
        <v>63</v>
      </c>
      <c r="D50" s="18">
        <v>1</v>
      </c>
      <c r="E50" s="18">
        <v>4</v>
      </c>
      <c r="F50" s="18">
        <v>0</v>
      </c>
      <c r="G50" s="18">
        <v>0</v>
      </c>
    </row>
    <row r="51" ht="20.05" customHeight="1">
      <c r="A51" s="12"/>
      <c r="B51" s="13"/>
      <c r="C51" t="s" s="17">
        <v>64</v>
      </c>
      <c r="D51" s="18">
        <v>2</v>
      </c>
      <c r="E51" s="18">
        <v>5</v>
      </c>
      <c r="F51" s="18">
        <v>0</v>
      </c>
      <c r="G51" s="18">
        <v>0</v>
      </c>
    </row>
    <row r="52" ht="20.05" customHeight="1">
      <c r="A52" s="12"/>
      <c r="B52" t="s" s="16">
        <v>65</v>
      </c>
      <c r="C52" t="s" s="17">
        <v>60</v>
      </c>
      <c r="D52" s="18">
        <v>1</v>
      </c>
      <c r="E52" s="18">
        <v>1</v>
      </c>
      <c r="F52" s="18">
        <v>1</v>
      </c>
      <c r="G52" s="18">
        <v>0</v>
      </c>
    </row>
    <row r="53" ht="20.05" customHeight="1">
      <c r="A53" s="12"/>
      <c r="B53" s="13"/>
      <c r="C53" t="s" s="17">
        <v>65</v>
      </c>
      <c r="D53" s="18">
        <v>0</v>
      </c>
      <c r="E53" s="18">
        <v>4</v>
      </c>
      <c r="F53" s="18">
        <v>0</v>
      </c>
      <c r="G53" s="18">
        <v>0</v>
      </c>
    </row>
    <row r="54" ht="20.05" customHeight="1">
      <c r="A54" t="s" s="19">
        <v>77</v>
      </c>
      <c r="B54" t="s" s="20">
        <v>78</v>
      </c>
      <c r="C54" t="s" s="21">
        <v>79</v>
      </c>
      <c r="D54" s="22">
        <v>0</v>
      </c>
      <c r="E54" s="22">
        <v>11</v>
      </c>
      <c r="F54" s="22">
        <v>0</v>
      </c>
      <c r="G54" s="22">
        <v>0</v>
      </c>
    </row>
    <row r="55" ht="20.05" customHeight="1">
      <c r="A55" s="12"/>
      <c r="B55" s="13"/>
      <c r="C55" t="s" s="21">
        <v>80</v>
      </c>
      <c r="D55" s="22">
        <v>0</v>
      </c>
      <c r="E55" s="22">
        <v>1</v>
      </c>
      <c r="F55" s="22">
        <v>0</v>
      </c>
      <c r="G55" s="22">
        <v>0</v>
      </c>
    </row>
    <row r="56" ht="20.05" customHeight="1">
      <c r="A56" s="12"/>
      <c r="B56" s="13"/>
      <c r="C56" t="s" s="21">
        <v>81</v>
      </c>
      <c r="D56" s="22">
        <v>0</v>
      </c>
      <c r="E56" s="22">
        <v>18</v>
      </c>
      <c r="F56" s="22">
        <v>0</v>
      </c>
      <c r="G56" s="22">
        <v>0</v>
      </c>
    </row>
    <row r="57" ht="20.05" customHeight="1">
      <c r="A57" s="12"/>
      <c r="B57" t="s" s="20">
        <v>84</v>
      </c>
      <c r="C57" t="s" s="21">
        <v>85</v>
      </c>
      <c r="D57" s="22">
        <v>0</v>
      </c>
      <c r="E57" s="22">
        <v>2</v>
      </c>
      <c r="F57" s="22">
        <v>0</v>
      </c>
      <c r="G57" s="22">
        <v>0</v>
      </c>
    </row>
    <row r="58" ht="20.05" customHeight="1">
      <c r="A58" s="12"/>
      <c r="B58" s="13"/>
      <c r="C58" t="s" s="21">
        <v>86</v>
      </c>
      <c r="D58" s="22">
        <v>0</v>
      </c>
      <c r="E58" s="22">
        <v>3</v>
      </c>
      <c r="F58" s="22">
        <v>0</v>
      </c>
      <c r="G58" s="22">
        <v>0</v>
      </c>
    </row>
    <row r="59" ht="20.05" customHeight="1">
      <c r="A59" s="12"/>
      <c r="B59" s="13"/>
      <c r="C59" t="s" s="21">
        <v>87</v>
      </c>
      <c r="D59" s="22">
        <v>0</v>
      </c>
      <c r="E59" s="22">
        <v>2</v>
      </c>
      <c r="F59" s="22">
        <v>0</v>
      </c>
      <c r="G59" s="22">
        <v>0</v>
      </c>
    </row>
    <row r="60" ht="20.05" customHeight="1">
      <c r="A60" s="12"/>
      <c r="B60" s="13"/>
      <c r="C60" t="s" s="21">
        <v>88</v>
      </c>
      <c r="D60" s="22">
        <v>0</v>
      </c>
      <c r="E60" s="22">
        <v>2</v>
      </c>
      <c r="F60" s="22">
        <v>0</v>
      </c>
      <c r="G60" s="22">
        <v>0</v>
      </c>
    </row>
    <row r="61" ht="32.05" customHeight="1">
      <c r="A61" s="12"/>
      <c r="B61" t="s" s="20">
        <v>82</v>
      </c>
      <c r="C61" t="s" s="21">
        <v>83</v>
      </c>
      <c r="D61" s="22">
        <v>0</v>
      </c>
      <c r="E61" s="22">
        <v>2</v>
      </c>
      <c r="F61" s="22">
        <v>0</v>
      </c>
      <c r="G61" s="22">
        <v>0</v>
      </c>
    </row>
    <row r="62" ht="20.05" customHeight="1">
      <c r="A62" t="s" s="26">
        <v>92</v>
      </c>
      <c r="B62" t="s" s="27">
        <v>93</v>
      </c>
      <c r="C62" t="s" s="28">
        <v>816</v>
      </c>
      <c r="D62" s="29">
        <v>1</v>
      </c>
      <c r="E62" s="29">
        <v>5</v>
      </c>
      <c r="F62" s="29">
        <v>1</v>
      </c>
      <c r="G62" s="29">
        <v>1</v>
      </c>
    </row>
    <row r="63" ht="20.05" customHeight="1">
      <c r="A63" s="12"/>
      <c r="B63" s="13"/>
      <c r="C63" t="s" s="28">
        <v>817</v>
      </c>
      <c r="D63" s="29">
        <v>0</v>
      </c>
      <c r="E63" s="29">
        <v>3</v>
      </c>
      <c r="F63" s="29">
        <v>0</v>
      </c>
      <c r="G63" s="29">
        <v>1</v>
      </c>
    </row>
    <row r="64" ht="20.05" customHeight="1">
      <c r="A64" s="12"/>
      <c r="B64" s="13"/>
      <c r="C64" t="s" s="28">
        <v>96</v>
      </c>
      <c r="D64" s="29">
        <v>0</v>
      </c>
      <c r="E64" s="29">
        <v>3</v>
      </c>
      <c r="F64" s="29">
        <v>0</v>
      </c>
      <c r="G64" s="29">
        <v>0</v>
      </c>
    </row>
    <row r="65" ht="23.95" customHeight="1">
      <c r="A65" s="12"/>
      <c r="B65" t="s" s="27">
        <v>818</v>
      </c>
      <c r="C65" t="s" s="28">
        <v>819</v>
      </c>
      <c r="D65" s="29">
        <v>0</v>
      </c>
      <c r="E65" s="29">
        <v>3</v>
      </c>
      <c r="F65" s="29">
        <v>0</v>
      </c>
      <c r="G65" s="29">
        <v>0</v>
      </c>
    </row>
    <row r="66" ht="20.05" customHeight="1">
      <c r="A66" s="12"/>
      <c r="B66" t="s" s="27">
        <v>820</v>
      </c>
      <c r="C66" t="s" s="28">
        <v>526</v>
      </c>
      <c r="D66" s="29">
        <v>0</v>
      </c>
      <c r="E66" s="29">
        <v>2</v>
      </c>
      <c r="F66" s="29">
        <v>0</v>
      </c>
      <c r="G66" s="29">
        <v>0</v>
      </c>
    </row>
    <row r="67" ht="20.05" customHeight="1">
      <c r="A67" s="12"/>
      <c r="B67" s="13"/>
      <c r="C67" t="s" s="28">
        <v>527</v>
      </c>
      <c r="D67" s="29">
        <v>0</v>
      </c>
      <c r="E67" s="29">
        <v>4</v>
      </c>
      <c r="F67" s="29">
        <v>0</v>
      </c>
      <c r="G67" s="29">
        <v>0</v>
      </c>
    </row>
    <row r="68" ht="20.05" customHeight="1">
      <c r="A68" s="12"/>
      <c r="B68" s="13"/>
      <c r="C68" t="s" s="28">
        <v>528</v>
      </c>
      <c r="D68" s="29">
        <v>0</v>
      </c>
      <c r="E68" s="29">
        <v>3</v>
      </c>
      <c r="F68" s="29">
        <v>0</v>
      </c>
      <c r="G68" s="29">
        <v>0</v>
      </c>
    </row>
    <row r="69" ht="20.05" customHeight="1">
      <c r="A69" s="12"/>
      <c r="B69" t="s" s="27">
        <v>821</v>
      </c>
      <c r="C69" t="s" s="28">
        <v>822</v>
      </c>
      <c r="D69" s="29">
        <v>0</v>
      </c>
      <c r="E69" s="29">
        <v>3</v>
      </c>
      <c r="F69" s="29">
        <v>0</v>
      </c>
      <c r="G69" s="29">
        <v>0</v>
      </c>
    </row>
    <row r="70" ht="20.05" customHeight="1">
      <c r="A70" s="12"/>
      <c r="B70" s="13"/>
      <c r="C70" t="s" s="28">
        <v>823</v>
      </c>
      <c r="D70" s="29">
        <v>0</v>
      </c>
      <c r="E70" s="29">
        <v>2</v>
      </c>
      <c r="F70" s="29">
        <v>1</v>
      </c>
      <c r="G70" s="29">
        <v>0</v>
      </c>
    </row>
    <row r="71" ht="20.05" customHeight="1">
      <c r="A71" s="12"/>
      <c r="B71" s="13"/>
      <c r="C71" t="s" s="28">
        <v>601</v>
      </c>
      <c r="D71" s="29">
        <v>1</v>
      </c>
      <c r="E71" s="29">
        <v>14</v>
      </c>
      <c r="F71" s="29">
        <v>1</v>
      </c>
      <c r="G71" s="29">
        <v>1</v>
      </c>
    </row>
    <row r="72" ht="20.05" customHeight="1">
      <c r="A72" s="12"/>
      <c r="B72" s="13"/>
      <c r="C72" t="s" s="28">
        <v>824</v>
      </c>
      <c r="D72" s="29">
        <v>0</v>
      </c>
      <c r="E72" s="29">
        <v>1</v>
      </c>
      <c r="F72" s="29">
        <v>0</v>
      </c>
      <c r="G72" s="29">
        <v>0</v>
      </c>
    </row>
    <row r="73" ht="20.05" customHeight="1">
      <c r="A73" t="s" s="136">
        <v>825</v>
      </c>
      <c r="B73" t="s" s="137">
        <v>826</v>
      </c>
      <c r="C73" t="s" s="138">
        <v>827</v>
      </c>
      <c r="D73" s="139">
        <v>0</v>
      </c>
      <c r="E73" s="139">
        <v>4</v>
      </c>
      <c r="F73" s="139">
        <v>0</v>
      </c>
      <c r="G73" s="139">
        <v>0</v>
      </c>
    </row>
    <row r="74" ht="20.05" customHeight="1">
      <c r="A74" s="12"/>
      <c r="B74" s="13"/>
      <c r="C74" t="s" s="138">
        <v>828</v>
      </c>
      <c r="D74" s="139">
        <v>0</v>
      </c>
      <c r="E74" s="139">
        <v>4</v>
      </c>
      <c r="F74" s="139">
        <v>0</v>
      </c>
      <c r="G74" s="139">
        <v>0</v>
      </c>
    </row>
    <row r="75" ht="20.05" customHeight="1">
      <c r="A75" s="12"/>
      <c r="B75" s="13"/>
      <c r="C75" t="s" s="138">
        <v>829</v>
      </c>
      <c r="D75" s="139">
        <v>0</v>
      </c>
      <c r="E75" s="139">
        <v>5</v>
      </c>
      <c r="F75" s="139">
        <v>0</v>
      </c>
      <c r="G75" s="139">
        <v>0</v>
      </c>
    </row>
    <row r="76" ht="20.05" customHeight="1">
      <c r="A76" s="12"/>
      <c r="B76" s="13"/>
      <c r="C76" t="s" s="138">
        <v>830</v>
      </c>
      <c r="D76" s="139">
        <v>0</v>
      </c>
      <c r="E76" s="139">
        <v>3</v>
      </c>
      <c r="F76" s="139">
        <v>0</v>
      </c>
      <c r="G76" s="139">
        <v>0</v>
      </c>
    </row>
    <row r="77" ht="20.05" customHeight="1">
      <c r="A77" s="12"/>
      <c r="B77" s="13"/>
      <c r="C77" t="s" s="138">
        <v>831</v>
      </c>
      <c r="D77" s="139">
        <v>0</v>
      </c>
      <c r="E77" s="139">
        <v>7</v>
      </c>
      <c r="F77" s="139">
        <v>0</v>
      </c>
      <c r="G77" s="139">
        <v>0</v>
      </c>
    </row>
    <row r="78" ht="20.05" customHeight="1">
      <c r="A78" s="12"/>
      <c r="B78" t="s" s="137">
        <v>832</v>
      </c>
      <c r="C78" t="s" s="138">
        <v>833</v>
      </c>
      <c r="D78" s="139">
        <v>0</v>
      </c>
      <c r="E78" s="139">
        <v>3</v>
      </c>
      <c r="F78" s="139">
        <v>0</v>
      </c>
      <c r="G78" s="139">
        <v>0</v>
      </c>
    </row>
    <row r="79" ht="20.05" customHeight="1">
      <c r="A79" s="12"/>
      <c r="B79" s="13"/>
      <c r="C79" t="s" s="138">
        <v>834</v>
      </c>
      <c r="D79" s="139">
        <v>0</v>
      </c>
      <c r="E79" s="139">
        <v>1</v>
      </c>
      <c r="F79" s="139">
        <v>0</v>
      </c>
      <c r="G79" s="139">
        <v>0</v>
      </c>
    </row>
    <row r="80" ht="20.05" customHeight="1">
      <c r="A80" s="12"/>
      <c r="B80" s="13"/>
      <c r="C80" t="s" s="138">
        <v>835</v>
      </c>
      <c r="D80" s="139">
        <v>0</v>
      </c>
      <c r="E80" s="139">
        <v>2</v>
      </c>
      <c r="F80" s="139">
        <v>0</v>
      </c>
      <c r="G80" s="139">
        <v>0</v>
      </c>
    </row>
    <row r="81" ht="20.05" customHeight="1">
      <c r="A81" s="12"/>
      <c r="B81" s="13"/>
      <c r="C81" t="s" s="138">
        <v>836</v>
      </c>
      <c r="D81" s="139">
        <v>0</v>
      </c>
      <c r="E81" s="139">
        <v>2</v>
      </c>
      <c r="F81" s="139">
        <v>0</v>
      </c>
      <c r="G81" s="139">
        <v>0</v>
      </c>
    </row>
    <row r="82" ht="20.05" customHeight="1">
      <c r="A82" s="12"/>
      <c r="B82" s="13"/>
      <c r="C82" t="s" s="138">
        <v>837</v>
      </c>
      <c r="D82" s="139">
        <v>0</v>
      </c>
      <c r="E82" s="139">
        <v>7</v>
      </c>
      <c r="F82" s="139">
        <v>0</v>
      </c>
      <c r="G82" s="139">
        <v>0</v>
      </c>
    </row>
    <row r="83" ht="20.05" customHeight="1">
      <c r="A83" s="12"/>
      <c r="B83" t="s" s="137">
        <v>838</v>
      </c>
      <c r="C83" t="s" s="138">
        <v>839</v>
      </c>
      <c r="D83" s="139">
        <v>0</v>
      </c>
      <c r="E83" s="139">
        <v>1</v>
      </c>
      <c r="F83" s="139">
        <v>0</v>
      </c>
      <c r="G83" s="139">
        <v>0</v>
      </c>
    </row>
    <row r="84" ht="20.05" customHeight="1">
      <c r="A84" s="12"/>
      <c r="B84" s="13"/>
      <c r="C84" t="s" s="138">
        <v>840</v>
      </c>
      <c r="D84" s="139">
        <v>0</v>
      </c>
      <c r="E84" s="139">
        <v>5</v>
      </c>
      <c r="F84" s="139">
        <v>0</v>
      </c>
      <c r="G84" s="139">
        <v>0</v>
      </c>
    </row>
    <row r="85" ht="22.9" customHeight="1">
      <c r="A85" t="s" s="50">
        <v>841</v>
      </c>
      <c r="B85" t="s" s="51">
        <v>842</v>
      </c>
      <c r="C85" t="s" s="52">
        <v>843</v>
      </c>
      <c r="D85" s="53">
        <v>0</v>
      </c>
      <c r="E85" s="53">
        <v>12</v>
      </c>
      <c r="F85" s="53">
        <v>0</v>
      </c>
      <c r="G85" s="53">
        <v>0</v>
      </c>
    </row>
    <row r="86" ht="22.9" customHeight="1">
      <c r="A86" s="12"/>
      <c r="B86" t="s" s="51">
        <v>844</v>
      </c>
      <c r="C86" t="s" s="52">
        <v>845</v>
      </c>
      <c r="D86" s="53">
        <v>0</v>
      </c>
      <c r="E86" s="53">
        <v>2</v>
      </c>
      <c r="F86" s="53">
        <v>0</v>
      </c>
      <c r="G86" s="53">
        <v>0</v>
      </c>
    </row>
    <row r="87" ht="22.9" customHeight="1">
      <c r="A87" s="12"/>
      <c r="B87" s="13"/>
      <c r="C87" t="s" s="52">
        <v>846</v>
      </c>
      <c r="D87" s="53">
        <v>0</v>
      </c>
      <c r="E87" s="53">
        <v>7</v>
      </c>
      <c r="F87" s="53">
        <v>0</v>
      </c>
      <c r="G87" s="53">
        <v>0</v>
      </c>
    </row>
    <row r="88" ht="22.9" customHeight="1">
      <c r="A88" s="12"/>
      <c r="B88" t="s" s="51">
        <v>847</v>
      </c>
      <c r="C88" t="s" s="52">
        <v>848</v>
      </c>
      <c r="D88" s="53">
        <v>0</v>
      </c>
      <c r="E88" s="53">
        <v>1</v>
      </c>
      <c r="F88" s="53">
        <v>0</v>
      </c>
      <c r="G88" s="53">
        <v>0</v>
      </c>
    </row>
    <row r="89" ht="22.9" customHeight="1">
      <c r="A89" s="12"/>
      <c r="B89" s="13"/>
      <c r="C89" t="s" s="52">
        <v>849</v>
      </c>
      <c r="D89" s="53">
        <v>0</v>
      </c>
      <c r="E89" s="53">
        <v>4</v>
      </c>
      <c r="F89" s="53">
        <v>0</v>
      </c>
      <c r="G89" s="53">
        <v>0</v>
      </c>
    </row>
    <row r="90" ht="22.9" customHeight="1">
      <c r="A90" s="12"/>
      <c r="B90" t="s" s="51">
        <v>850</v>
      </c>
      <c r="C90" t="s" s="52">
        <v>851</v>
      </c>
      <c r="D90" s="53">
        <v>0</v>
      </c>
      <c r="E90" s="53">
        <v>3</v>
      </c>
      <c r="F90" s="53">
        <v>0</v>
      </c>
      <c r="G90" s="53">
        <v>0</v>
      </c>
    </row>
    <row r="91" ht="22.9" customHeight="1">
      <c r="A91" s="12"/>
      <c r="B91" s="13"/>
      <c r="C91" t="s" s="52">
        <v>852</v>
      </c>
      <c r="D91" s="53">
        <v>0</v>
      </c>
      <c r="E91" s="53">
        <v>6</v>
      </c>
      <c r="F91" s="53">
        <v>0</v>
      </c>
      <c r="G91" s="53">
        <v>0</v>
      </c>
    </row>
    <row r="92" ht="22.9" customHeight="1">
      <c r="A92" s="12"/>
      <c r="B92" t="s" s="51">
        <v>853</v>
      </c>
      <c r="C92" t="s" s="52">
        <v>123</v>
      </c>
      <c r="D92" s="53">
        <v>1</v>
      </c>
      <c r="E92" s="53">
        <v>5</v>
      </c>
      <c r="F92" s="53">
        <v>0</v>
      </c>
      <c r="G92" s="53">
        <v>0</v>
      </c>
    </row>
    <row r="93" ht="22.9" customHeight="1">
      <c r="A93" s="12"/>
      <c r="B93" s="13"/>
      <c r="C93" t="s" s="52">
        <v>122</v>
      </c>
      <c r="D93" s="53">
        <v>0</v>
      </c>
      <c r="E93" s="53">
        <v>2</v>
      </c>
      <c r="F93" s="53">
        <v>0</v>
      </c>
      <c r="G93" s="53">
        <v>1</v>
      </c>
    </row>
    <row r="94" ht="22.9" customHeight="1">
      <c r="A94" s="12"/>
      <c r="B94" s="13"/>
      <c r="C94" t="s" s="52">
        <v>854</v>
      </c>
      <c r="D94" s="53">
        <v>0</v>
      </c>
      <c r="E94" s="139">
        <v>0</v>
      </c>
      <c r="F94" s="53">
        <v>0</v>
      </c>
      <c r="G94" s="53">
        <v>0</v>
      </c>
    </row>
    <row r="95" ht="22.9" customHeight="1">
      <c r="A95" s="12"/>
      <c r="B95" s="13"/>
      <c r="C95" t="s" s="52">
        <v>855</v>
      </c>
      <c r="D95" s="53">
        <v>0</v>
      </c>
      <c r="E95" s="53">
        <v>2</v>
      </c>
      <c r="F95" s="53">
        <v>0</v>
      </c>
      <c r="G95" s="53">
        <v>0</v>
      </c>
    </row>
    <row r="96" ht="22.9" customHeight="1">
      <c r="A96" s="12"/>
      <c r="B96" s="13"/>
      <c r="C96" t="s" s="52">
        <v>856</v>
      </c>
      <c r="D96" s="53">
        <v>0</v>
      </c>
      <c r="E96" s="139">
        <v>0</v>
      </c>
      <c r="F96" s="53">
        <v>0</v>
      </c>
      <c r="G96" s="53">
        <v>0</v>
      </c>
    </row>
    <row r="97" ht="22.9" customHeight="1">
      <c r="A97" s="12"/>
      <c r="B97" t="s" s="51">
        <v>857</v>
      </c>
      <c r="C97" t="s" s="52">
        <v>858</v>
      </c>
      <c r="D97" s="53">
        <v>0</v>
      </c>
      <c r="E97" s="53">
        <v>5</v>
      </c>
      <c r="F97" s="53">
        <v>0</v>
      </c>
      <c r="G97" s="53">
        <v>0</v>
      </c>
    </row>
    <row r="98" ht="22.9" customHeight="1">
      <c r="A98" s="12"/>
      <c r="B98" s="13"/>
      <c r="C98" t="s" s="52">
        <v>859</v>
      </c>
      <c r="D98" s="53">
        <v>0</v>
      </c>
      <c r="E98" s="53">
        <v>2</v>
      </c>
      <c r="F98" s="53">
        <v>0</v>
      </c>
      <c r="G98" s="53">
        <v>0</v>
      </c>
    </row>
    <row r="99" ht="22.9" customHeight="1">
      <c r="A99" s="12"/>
      <c r="B99" t="s" s="51">
        <v>860</v>
      </c>
      <c r="C99" t="s" s="52">
        <v>124</v>
      </c>
      <c r="D99" s="53">
        <v>1</v>
      </c>
      <c r="E99" s="53">
        <v>12</v>
      </c>
      <c r="F99" s="53">
        <v>0</v>
      </c>
      <c r="G99" s="53">
        <v>1</v>
      </c>
    </row>
    <row r="100" ht="22.95" customHeight="1">
      <c r="A100" t="s" s="140">
        <v>861</v>
      </c>
      <c r="B100" t="s" s="141">
        <v>862</v>
      </c>
      <c r="C100" t="s" s="142">
        <v>863</v>
      </c>
      <c r="D100" s="143">
        <v>0</v>
      </c>
      <c r="E100" s="143">
        <v>10</v>
      </c>
      <c r="F100" s="143">
        <v>0</v>
      </c>
      <c r="G100" s="143">
        <v>0</v>
      </c>
    </row>
    <row r="101" ht="22.95" customHeight="1">
      <c r="A101" s="12"/>
      <c r="B101" t="s" s="141">
        <v>569</v>
      </c>
      <c r="C101" t="s" s="142">
        <v>569</v>
      </c>
      <c r="D101" s="143">
        <v>0</v>
      </c>
      <c r="E101" s="143">
        <v>5</v>
      </c>
      <c r="F101" s="143">
        <v>0</v>
      </c>
      <c r="G101" s="143">
        <v>0</v>
      </c>
    </row>
    <row r="102" ht="22.95" customHeight="1">
      <c r="A102" s="12"/>
      <c r="B102" t="s" s="141">
        <v>33</v>
      </c>
      <c r="C102" t="s" s="142">
        <v>33</v>
      </c>
      <c r="D102" s="143">
        <v>1</v>
      </c>
      <c r="E102" s="143">
        <v>10</v>
      </c>
      <c r="F102" s="143">
        <v>0</v>
      </c>
      <c r="G102" s="143">
        <v>1</v>
      </c>
    </row>
    <row r="103" ht="22.95" customHeight="1">
      <c r="A103" s="12"/>
      <c r="B103" t="s" s="141">
        <v>864</v>
      </c>
      <c r="C103" t="s" s="142">
        <v>865</v>
      </c>
      <c r="D103" s="143">
        <v>0</v>
      </c>
      <c r="E103" s="143">
        <v>6</v>
      </c>
      <c r="F103" s="143">
        <v>0</v>
      </c>
      <c r="G103" s="143">
        <v>0</v>
      </c>
    </row>
    <row r="104" ht="20.05" customHeight="1">
      <c r="A104" t="s" s="144">
        <v>492</v>
      </c>
      <c r="B104" t="s" s="145">
        <v>866</v>
      </c>
      <c r="C104" t="s" s="146">
        <v>487</v>
      </c>
      <c r="D104" s="147">
        <v>0</v>
      </c>
      <c r="E104" s="147">
        <v>2</v>
      </c>
      <c r="F104" s="147">
        <v>0</v>
      </c>
      <c r="G104" s="147">
        <v>0</v>
      </c>
    </row>
    <row r="105" ht="20.05" customHeight="1">
      <c r="A105" s="12"/>
      <c r="B105" s="13"/>
      <c r="C105" t="s" s="146">
        <v>867</v>
      </c>
      <c r="D105" s="147">
        <v>0</v>
      </c>
      <c r="E105" s="147">
        <v>4</v>
      </c>
      <c r="F105" s="147">
        <v>0</v>
      </c>
      <c r="G105" s="147">
        <v>0</v>
      </c>
    </row>
    <row r="106" ht="22.95" customHeight="1">
      <c r="A106" s="12"/>
      <c r="B106" t="s" s="145">
        <v>489</v>
      </c>
      <c r="C106" t="s" s="146">
        <v>489</v>
      </c>
      <c r="D106" s="147">
        <v>0</v>
      </c>
      <c r="E106" s="147">
        <v>6</v>
      </c>
      <c r="F106" s="147">
        <v>0</v>
      </c>
      <c r="G106" s="147">
        <v>0</v>
      </c>
    </row>
    <row r="107" ht="20.05" customHeight="1">
      <c r="A107" s="12"/>
      <c r="B107" t="s" s="145">
        <v>868</v>
      </c>
      <c r="C107" t="s" s="146">
        <v>869</v>
      </c>
      <c r="D107" s="147">
        <v>0</v>
      </c>
      <c r="E107" s="147">
        <v>7</v>
      </c>
      <c r="F107" s="147">
        <v>0</v>
      </c>
      <c r="G107" s="147">
        <v>0</v>
      </c>
    </row>
    <row r="108" ht="20.05" customHeight="1">
      <c r="A108" s="12"/>
      <c r="B108" s="13"/>
      <c r="C108" t="s" s="146">
        <v>870</v>
      </c>
      <c r="D108" s="147">
        <v>0</v>
      </c>
      <c r="E108" s="147">
        <v>6</v>
      </c>
      <c r="F108" s="147">
        <v>0</v>
      </c>
      <c r="G108" s="147">
        <v>0</v>
      </c>
    </row>
    <row r="109" ht="20.05" customHeight="1">
      <c r="A109" t="s" s="148">
        <v>871</v>
      </c>
      <c r="B109" t="s" s="55">
        <v>872</v>
      </c>
      <c r="C109" t="s" s="28">
        <v>873</v>
      </c>
      <c r="D109" s="29">
        <v>0</v>
      </c>
      <c r="E109" s="29">
        <v>8</v>
      </c>
      <c r="F109" s="29">
        <v>0</v>
      </c>
      <c r="G109" s="29">
        <v>1</v>
      </c>
    </row>
    <row r="110" ht="20.05" customHeight="1">
      <c r="A110" s="12"/>
      <c r="B110" s="13"/>
      <c r="C110" t="s" s="28">
        <v>874</v>
      </c>
      <c r="D110" s="29">
        <v>0</v>
      </c>
      <c r="E110" s="29">
        <v>4</v>
      </c>
      <c r="F110" s="29">
        <v>0</v>
      </c>
      <c r="G110" s="29">
        <v>0</v>
      </c>
    </row>
    <row r="111" ht="20.05" customHeight="1">
      <c r="A111" s="12"/>
      <c r="B111" s="13"/>
      <c r="C111" t="s" s="28">
        <v>875</v>
      </c>
      <c r="D111" s="29">
        <v>0</v>
      </c>
      <c r="E111" s="29">
        <v>5</v>
      </c>
      <c r="F111" s="29">
        <v>0</v>
      </c>
      <c r="G111" s="29">
        <v>0</v>
      </c>
    </row>
    <row r="112" ht="22.95" customHeight="1">
      <c r="A112" s="12"/>
      <c r="B112" t="s" s="55">
        <v>876</v>
      </c>
      <c r="C112" t="s" s="28">
        <v>876</v>
      </c>
      <c r="D112" s="29">
        <v>0</v>
      </c>
      <c r="E112" s="29">
        <v>10</v>
      </c>
      <c r="F112" s="29">
        <v>0</v>
      </c>
      <c r="G112" s="29">
        <v>0</v>
      </c>
    </row>
    <row r="113" ht="20.05" customHeight="1">
      <c r="A113" s="12"/>
      <c r="B113" t="s" s="55">
        <v>877</v>
      </c>
      <c r="C113" t="s" s="28">
        <v>878</v>
      </c>
      <c r="D113" s="29">
        <v>0</v>
      </c>
      <c r="E113" s="29">
        <v>3</v>
      </c>
      <c r="F113" s="29">
        <v>0</v>
      </c>
      <c r="G113" s="29">
        <v>0</v>
      </c>
    </row>
    <row r="114" ht="20.05" customHeight="1">
      <c r="A114" s="12"/>
      <c r="B114" s="13"/>
      <c r="C114" t="s" s="28">
        <v>879</v>
      </c>
      <c r="D114" s="29">
        <v>0</v>
      </c>
      <c r="E114" s="29">
        <v>2</v>
      </c>
      <c r="F114" s="29">
        <v>0</v>
      </c>
      <c r="G114" s="29">
        <v>0</v>
      </c>
    </row>
    <row r="115" ht="20.05" customHeight="1">
      <c r="A115" s="12"/>
      <c r="B115" t="s" s="149">
        <v>880</v>
      </c>
      <c r="C115" t="s" s="24">
        <v>381</v>
      </c>
      <c r="D115" s="25">
        <v>0</v>
      </c>
      <c r="E115" s="25">
        <v>3</v>
      </c>
      <c r="F115" s="25">
        <v>0</v>
      </c>
      <c r="G115" s="25">
        <v>0</v>
      </c>
    </row>
    <row r="116" ht="20.05" customHeight="1">
      <c r="A116" s="12"/>
      <c r="B116" s="13"/>
      <c r="C116" t="s" s="24">
        <v>382</v>
      </c>
      <c r="D116" s="25">
        <v>0</v>
      </c>
      <c r="E116" s="25">
        <v>2</v>
      </c>
      <c r="F116" s="25">
        <v>0</v>
      </c>
      <c r="G116" s="25">
        <v>0</v>
      </c>
    </row>
    <row r="117" ht="20.05" customHeight="1">
      <c r="A117" s="12"/>
      <c r="B117" s="13"/>
      <c r="C117" t="s" s="24">
        <v>384</v>
      </c>
      <c r="D117" s="25">
        <v>0</v>
      </c>
      <c r="E117" s="25">
        <v>5</v>
      </c>
      <c r="F117" s="25">
        <v>0</v>
      </c>
      <c r="G117" s="25">
        <v>0</v>
      </c>
    </row>
    <row r="118" ht="20.05" customHeight="1">
      <c r="A118" s="12"/>
      <c r="B118" s="13"/>
      <c r="C118" t="s" s="24">
        <v>385</v>
      </c>
      <c r="D118" s="25">
        <v>0</v>
      </c>
      <c r="E118" s="25">
        <v>5</v>
      </c>
      <c r="F118" s="25">
        <v>0</v>
      </c>
      <c r="G118" s="25">
        <v>0</v>
      </c>
    </row>
    <row r="119" ht="20.05" customHeight="1">
      <c r="A119" s="12"/>
      <c r="B119" s="13"/>
      <c r="C119" t="s" s="24">
        <v>386</v>
      </c>
      <c r="D119" s="25">
        <v>0</v>
      </c>
      <c r="E119" s="25">
        <v>5</v>
      </c>
      <c r="F119" s="25">
        <v>0</v>
      </c>
      <c r="G119" s="25">
        <v>0</v>
      </c>
    </row>
    <row r="120" ht="20.05" customHeight="1">
      <c r="A120" s="12"/>
      <c r="B120" s="13"/>
      <c r="C120" t="s" s="24">
        <v>387</v>
      </c>
      <c r="D120" s="25">
        <v>0</v>
      </c>
      <c r="E120" s="25">
        <v>1</v>
      </c>
      <c r="F120" s="25">
        <v>0</v>
      </c>
      <c r="G120" s="25">
        <v>0</v>
      </c>
    </row>
    <row r="121" ht="20.05" customHeight="1">
      <c r="A121" s="12"/>
      <c r="B121" s="13"/>
      <c r="C121" t="s" s="24">
        <v>388</v>
      </c>
      <c r="D121" s="25">
        <v>0</v>
      </c>
      <c r="E121" s="25">
        <v>2</v>
      </c>
      <c r="F121" s="25">
        <v>0</v>
      </c>
      <c r="G121" s="25">
        <v>0</v>
      </c>
    </row>
    <row r="122" ht="20.05" customHeight="1">
      <c r="A122" s="12"/>
      <c r="B122" s="13"/>
      <c r="C122" t="s" s="24">
        <v>389</v>
      </c>
      <c r="D122" s="25">
        <v>0</v>
      </c>
      <c r="E122" s="25">
        <v>2</v>
      </c>
      <c r="F122" s="25">
        <v>0</v>
      </c>
      <c r="G122" s="25">
        <v>0</v>
      </c>
    </row>
    <row r="123" ht="20.05" customHeight="1">
      <c r="A123" s="12"/>
      <c r="B123" t="s" s="55">
        <v>881</v>
      </c>
      <c r="C123" t="s" s="28">
        <v>882</v>
      </c>
      <c r="D123" s="29">
        <v>0</v>
      </c>
      <c r="E123" s="29">
        <v>9</v>
      </c>
      <c r="F123" s="29">
        <v>0</v>
      </c>
      <c r="G123" s="29">
        <v>0</v>
      </c>
    </row>
    <row r="124" ht="20.05" customHeight="1">
      <c r="A124" s="12"/>
      <c r="B124" s="13"/>
      <c r="C124" t="s" s="28">
        <v>883</v>
      </c>
      <c r="D124" s="29">
        <v>0</v>
      </c>
      <c r="E124" s="29">
        <v>4</v>
      </c>
      <c r="F124" s="29">
        <v>0</v>
      </c>
      <c r="G124" s="29">
        <v>0</v>
      </c>
    </row>
    <row r="125" ht="20.05" customHeight="1">
      <c r="A125" s="12"/>
      <c r="B125" s="13"/>
      <c r="C125" t="s" s="28">
        <v>884</v>
      </c>
      <c r="D125" s="29">
        <v>0</v>
      </c>
      <c r="E125" s="29">
        <v>4</v>
      </c>
      <c r="F125" s="29">
        <v>0</v>
      </c>
      <c r="G125" s="29">
        <v>0</v>
      </c>
    </row>
    <row r="126" ht="20.05" customHeight="1">
      <c r="A126" t="s" s="30">
        <v>885</v>
      </c>
      <c r="B126" t="s" s="57">
        <v>886</v>
      </c>
      <c r="C126" t="s" s="32">
        <v>570</v>
      </c>
      <c r="D126" s="33">
        <v>0</v>
      </c>
      <c r="E126" s="33">
        <v>6</v>
      </c>
      <c r="F126" s="33">
        <v>0</v>
      </c>
      <c r="G126" s="33">
        <v>0</v>
      </c>
    </row>
    <row r="127" ht="20.05" customHeight="1">
      <c r="A127" s="12"/>
      <c r="B127" s="13"/>
      <c r="C127" t="s" s="32">
        <v>887</v>
      </c>
      <c r="D127" s="33">
        <v>0</v>
      </c>
      <c r="E127" s="33">
        <v>8</v>
      </c>
      <c r="F127" s="33">
        <v>0</v>
      </c>
      <c r="G127" s="33">
        <v>0</v>
      </c>
    </row>
    <row r="128" ht="20.05" customHeight="1">
      <c r="A128" s="12"/>
      <c r="B128" s="13"/>
      <c r="C128" t="s" s="32">
        <v>888</v>
      </c>
      <c r="D128" s="33">
        <v>0</v>
      </c>
      <c r="E128" s="33">
        <v>2</v>
      </c>
      <c r="F128" s="33">
        <v>0</v>
      </c>
      <c r="G128" s="33">
        <v>0</v>
      </c>
    </row>
    <row r="129" ht="20.05" customHeight="1">
      <c r="A129" s="12"/>
      <c r="B129" s="13"/>
      <c r="C129" t="s" s="32">
        <v>889</v>
      </c>
      <c r="D129" s="33">
        <v>0</v>
      </c>
      <c r="E129" s="33">
        <v>4</v>
      </c>
      <c r="F129" s="33">
        <v>0</v>
      </c>
      <c r="G129" s="33">
        <v>0</v>
      </c>
    </row>
    <row r="130" ht="20.05" customHeight="1">
      <c r="A130" s="12"/>
      <c r="B130" t="s" s="57">
        <v>890</v>
      </c>
      <c r="C130" t="s" s="32">
        <v>891</v>
      </c>
      <c r="D130" s="33">
        <v>0</v>
      </c>
      <c r="E130" s="33">
        <v>1</v>
      </c>
      <c r="F130" s="33">
        <v>0</v>
      </c>
      <c r="G130" s="33">
        <v>0</v>
      </c>
    </row>
    <row r="131" ht="20.05" customHeight="1">
      <c r="A131" s="12"/>
      <c r="B131" s="13"/>
      <c r="C131" t="s" s="32">
        <v>892</v>
      </c>
      <c r="D131" s="33">
        <v>0</v>
      </c>
      <c r="E131" s="150">
        <v>1</v>
      </c>
      <c r="F131" s="33">
        <v>0</v>
      </c>
      <c r="G131" s="33">
        <v>0</v>
      </c>
    </row>
    <row r="132" ht="20.05" customHeight="1">
      <c r="A132" s="12"/>
      <c r="B132" s="13"/>
      <c r="C132" t="s" s="32">
        <v>893</v>
      </c>
      <c r="D132" s="33">
        <v>0</v>
      </c>
      <c r="E132" s="33">
        <v>2</v>
      </c>
      <c r="F132" s="33">
        <v>0</v>
      </c>
      <c r="G132" s="33">
        <v>0</v>
      </c>
    </row>
    <row r="133" ht="20.05" customHeight="1">
      <c r="A133" s="12"/>
      <c r="B133" s="13"/>
      <c r="C133" t="s" s="32">
        <v>894</v>
      </c>
      <c r="D133" s="33">
        <v>0</v>
      </c>
      <c r="E133" s="33">
        <v>5</v>
      </c>
      <c r="F133" s="33">
        <v>0</v>
      </c>
      <c r="G133" s="33">
        <v>0</v>
      </c>
    </row>
    <row r="134" ht="20.05" customHeight="1">
      <c r="A134" s="12"/>
      <c r="B134" t="s" s="57">
        <v>127</v>
      </c>
      <c r="C134" t="s" s="32">
        <v>895</v>
      </c>
      <c r="D134" s="33">
        <v>0</v>
      </c>
      <c r="E134" s="33">
        <v>6</v>
      </c>
      <c r="F134" s="33">
        <v>0</v>
      </c>
      <c r="G134" s="33">
        <v>0</v>
      </c>
    </row>
    <row r="135" ht="20.05" customHeight="1">
      <c r="A135" s="12"/>
      <c r="B135" s="13"/>
      <c r="C135" t="s" s="32">
        <v>896</v>
      </c>
      <c r="D135" s="33">
        <v>0</v>
      </c>
      <c r="E135" s="33">
        <v>5</v>
      </c>
      <c r="F135" s="33">
        <v>0</v>
      </c>
      <c r="G135" s="33">
        <v>0</v>
      </c>
    </row>
    <row r="136" ht="20.05" customHeight="1">
      <c r="A136" s="12"/>
      <c r="B136" s="13"/>
      <c r="C136" t="s" s="32">
        <v>897</v>
      </c>
      <c r="D136" s="33">
        <v>0</v>
      </c>
      <c r="E136" s="33">
        <v>3</v>
      </c>
      <c r="F136" s="33">
        <v>0</v>
      </c>
      <c r="G136" s="33">
        <v>0</v>
      </c>
    </row>
    <row r="137" ht="20.05" customHeight="1">
      <c r="A137" s="12"/>
      <c r="B137" s="13"/>
      <c r="C137" t="s" s="32">
        <v>898</v>
      </c>
      <c r="D137" s="33">
        <v>0</v>
      </c>
      <c r="E137" s="33">
        <v>8</v>
      </c>
      <c r="F137" s="33">
        <v>0</v>
      </c>
      <c r="G137" s="33">
        <v>0</v>
      </c>
    </row>
    <row r="138" ht="20.05" customHeight="1">
      <c r="A138" s="12"/>
      <c r="B138" t="s" s="57">
        <v>128</v>
      </c>
      <c r="C138" t="s" s="32">
        <v>899</v>
      </c>
      <c r="D138" s="33">
        <v>0</v>
      </c>
      <c r="E138" s="33">
        <v>8</v>
      </c>
      <c r="F138" s="33">
        <v>0</v>
      </c>
      <c r="G138" s="33">
        <v>0</v>
      </c>
    </row>
    <row r="139" ht="20.05" customHeight="1">
      <c r="A139" s="12"/>
      <c r="B139" s="13"/>
      <c r="C139" t="s" s="32">
        <v>900</v>
      </c>
      <c r="D139" s="33">
        <v>0</v>
      </c>
      <c r="E139" s="33">
        <v>3</v>
      </c>
      <c r="F139" s="33">
        <v>0</v>
      </c>
      <c r="G139" s="33">
        <v>0</v>
      </c>
    </row>
    <row r="140" ht="20.05" customHeight="1">
      <c r="A140" s="12"/>
      <c r="B140" s="13"/>
      <c r="C140" t="s" s="32">
        <v>573</v>
      </c>
      <c r="D140" s="33">
        <v>0</v>
      </c>
      <c r="E140" s="33">
        <v>9</v>
      </c>
      <c r="F140" s="33">
        <v>0</v>
      </c>
      <c r="G140" s="33">
        <v>0</v>
      </c>
    </row>
    <row r="141" ht="20.05" customHeight="1">
      <c r="A141" t="s" s="151">
        <v>901</v>
      </c>
      <c r="B141" t="s" s="152">
        <v>902</v>
      </c>
      <c r="C141" t="s" s="153">
        <v>903</v>
      </c>
      <c r="D141" s="154">
        <v>0</v>
      </c>
      <c r="E141" s="154">
        <v>6</v>
      </c>
      <c r="F141" s="154">
        <v>0</v>
      </c>
      <c r="G141" s="154">
        <v>0</v>
      </c>
    </row>
    <row r="142" ht="20.05" customHeight="1">
      <c r="A142" s="12"/>
      <c r="B142" s="13"/>
      <c r="C142" t="s" s="153">
        <v>529</v>
      </c>
      <c r="D142" s="154">
        <v>0</v>
      </c>
      <c r="E142" s="154">
        <v>2</v>
      </c>
      <c r="F142" s="154">
        <v>0</v>
      </c>
      <c r="G142" s="154">
        <v>0</v>
      </c>
    </row>
    <row r="143" ht="20.05" customHeight="1">
      <c r="A143" s="12"/>
      <c r="B143" t="s" s="152">
        <v>904</v>
      </c>
      <c r="C143" t="s" s="153">
        <v>905</v>
      </c>
      <c r="D143" s="154">
        <v>0</v>
      </c>
      <c r="E143" s="154">
        <v>3</v>
      </c>
      <c r="F143" s="154">
        <v>0</v>
      </c>
      <c r="G143" s="154">
        <v>0</v>
      </c>
    </row>
    <row r="144" ht="20.05" customHeight="1">
      <c r="A144" s="12"/>
      <c r="B144" s="13"/>
      <c r="C144" t="s" s="153">
        <v>906</v>
      </c>
      <c r="D144" s="154">
        <v>0</v>
      </c>
      <c r="E144" s="154">
        <v>9</v>
      </c>
      <c r="F144" s="154">
        <v>0</v>
      </c>
      <c r="G144" s="154">
        <v>0</v>
      </c>
    </row>
    <row r="145" ht="22.95" customHeight="1">
      <c r="A145" s="12"/>
      <c r="B145" t="s" s="152">
        <v>907</v>
      </c>
      <c r="C145" t="s" s="153">
        <v>908</v>
      </c>
      <c r="D145" s="154">
        <v>0</v>
      </c>
      <c r="E145" s="154">
        <v>6</v>
      </c>
      <c r="F145" s="154">
        <v>0</v>
      </c>
      <c r="G145" s="154">
        <v>0</v>
      </c>
    </row>
    <row r="146" ht="22.95" customHeight="1">
      <c r="A146" t="s" s="59">
        <v>390</v>
      </c>
      <c r="B146" t="s" s="60">
        <v>909</v>
      </c>
      <c r="C146" t="s" s="61">
        <v>910</v>
      </c>
      <c r="D146" s="62">
        <v>0</v>
      </c>
      <c r="E146" s="62">
        <v>7</v>
      </c>
      <c r="F146" s="62">
        <v>0</v>
      </c>
      <c r="G146" s="62">
        <v>0</v>
      </c>
    </row>
    <row r="147" ht="22.95" customHeight="1">
      <c r="A147" s="12"/>
      <c r="B147" t="s" s="60">
        <v>911</v>
      </c>
      <c r="C147" t="s" s="61">
        <v>911</v>
      </c>
      <c r="D147" s="62">
        <v>0</v>
      </c>
      <c r="E147" s="62">
        <v>4</v>
      </c>
      <c r="F147" s="62">
        <v>0</v>
      </c>
      <c r="G147" s="62">
        <v>0</v>
      </c>
    </row>
    <row r="148" ht="20.05" customHeight="1">
      <c r="A148" s="12"/>
      <c r="B148" t="s" s="60">
        <v>391</v>
      </c>
      <c r="C148" t="s" s="61">
        <v>392</v>
      </c>
      <c r="D148" s="62">
        <v>1</v>
      </c>
      <c r="E148" s="62">
        <v>5</v>
      </c>
      <c r="F148" s="62">
        <v>0</v>
      </c>
      <c r="G148" s="62">
        <v>1</v>
      </c>
    </row>
    <row r="149" ht="20.05" customHeight="1">
      <c r="A149" s="12"/>
      <c r="B149" s="13"/>
      <c r="C149" t="s" s="61">
        <v>393</v>
      </c>
      <c r="D149" s="62">
        <v>1</v>
      </c>
      <c r="E149" s="62">
        <v>3</v>
      </c>
      <c r="F149" s="62">
        <v>0</v>
      </c>
      <c r="G149" s="62">
        <v>0</v>
      </c>
    </row>
    <row r="150" ht="32.05" customHeight="1">
      <c r="A150" s="12"/>
      <c r="B150" s="13"/>
      <c r="C150" t="s" s="61">
        <v>394</v>
      </c>
      <c r="D150" s="62">
        <v>1</v>
      </c>
      <c r="E150" s="62">
        <v>4</v>
      </c>
      <c r="F150" s="62">
        <v>0</v>
      </c>
      <c r="G150" s="62">
        <v>0</v>
      </c>
    </row>
    <row r="151" ht="20.05" customHeight="1">
      <c r="A151" s="12"/>
      <c r="B151" s="13"/>
      <c r="C151" t="s" s="61">
        <v>912</v>
      </c>
      <c r="D151" s="62">
        <v>0</v>
      </c>
      <c r="E151" s="62">
        <v>9</v>
      </c>
      <c r="F151" s="62">
        <v>0</v>
      </c>
      <c r="G151" s="62">
        <v>0</v>
      </c>
    </row>
    <row r="152" ht="20.05" customHeight="1">
      <c r="A152" s="12"/>
      <c r="B152" t="s" s="60">
        <v>913</v>
      </c>
      <c r="C152" t="s" s="61">
        <v>395</v>
      </c>
      <c r="D152" s="62">
        <v>0</v>
      </c>
      <c r="E152" s="62">
        <v>4</v>
      </c>
      <c r="F152" s="62">
        <v>0</v>
      </c>
      <c r="G152" s="62">
        <v>0</v>
      </c>
    </row>
    <row r="153" ht="20.05" customHeight="1">
      <c r="A153" s="12"/>
      <c r="B153" s="13"/>
      <c r="C153" t="s" s="61">
        <v>913</v>
      </c>
      <c r="D153" s="62">
        <v>0</v>
      </c>
      <c r="E153" s="62">
        <v>9</v>
      </c>
      <c r="F153" s="62">
        <v>0</v>
      </c>
      <c r="G153" s="62">
        <v>0</v>
      </c>
    </row>
    <row r="154" ht="20.05" customHeight="1">
      <c r="A154" t="s" s="155">
        <v>914</v>
      </c>
      <c r="B154" t="s" s="156">
        <v>915</v>
      </c>
      <c r="C154" t="s" s="157">
        <v>916</v>
      </c>
      <c r="D154" s="158">
        <v>0</v>
      </c>
      <c r="E154" s="158">
        <v>1</v>
      </c>
      <c r="F154" s="158">
        <v>0</v>
      </c>
      <c r="G154" s="158">
        <v>0</v>
      </c>
    </row>
    <row r="155" ht="20.05" customHeight="1">
      <c r="A155" s="12"/>
      <c r="B155" s="13"/>
      <c r="C155" t="s" s="157">
        <v>917</v>
      </c>
      <c r="D155" s="158">
        <v>0</v>
      </c>
      <c r="E155" s="158">
        <v>2</v>
      </c>
      <c r="F155" s="158">
        <v>0</v>
      </c>
      <c r="G155" s="158">
        <v>0</v>
      </c>
    </row>
    <row r="156" ht="20.05" customHeight="1">
      <c r="A156" s="12"/>
      <c r="B156" s="13"/>
      <c r="C156" t="s" s="157">
        <v>918</v>
      </c>
      <c r="D156" s="158">
        <v>0</v>
      </c>
      <c r="E156" s="158">
        <v>8</v>
      </c>
      <c r="F156" s="158">
        <v>0</v>
      </c>
      <c r="G156" s="158">
        <v>0</v>
      </c>
    </row>
    <row r="157" ht="20.05" customHeight="1">
      <c r="A157" s="12"/>
      <c r="B157" s="13"/>
      <c r="C157" t="s" s="157">
        <v>919</v>
      </c>
      <c r="D157" s="158">
        <v>0</v>
      </c>
      <c r="E157" s="158">
        <v>7</v>
      </c>
      <c r="F157" s="158">
        <v>0</v>
      </c>
      <c r="G157" s="158">
        <v>0</v>
      </c>
    </row>
    <row r="158" ht="20.05" customHeight="1">
      <c r="A158" s="12"/>
      <c r="B158" t="s" s="156">
        <v>920</v>
      </c>
      <c r="C158" t="s" s="157">
        <v>921</v>
      </c>
      <c r="D158" s="158">
        <v>0</v>
      </c>
      <c r="E158" s="158">
        <v>3</v>
      </c>
      <c r="F158" s="158">
        <v>0</v>
      </c>
      <c r="G158" s="158">
        <v>0</v>
      </c>
    </row>
    <row r="159" ht="20.05" customHeight="1">
      <c r="A159" s="12"/>
      <c r="B159" s="13"/>
      <c r="C159" t="s" s="157">
        <v>922</v>
      </c>
      <c r="D159" s="158">
        <v>0</v>
      </c>
      <c r="E159" s="158">
        <v>2</v>
      </c>
      <c r="F159" s="158">
        <v>0</v>
      </c>
      <c r="G159" s="158">
        <v>0</v>
      </c>
    </row>
    <row r="160" ht="20.05" customHeight="1">
      <c r="A160" s="12"/>
      <c r="B160" t="s" s="156">
        <v>923</v>
      </c>
      <c r="C160" t="s" s="157">
        <v>924</v>
      </c>
      <c r="D160" s="158">
        <v>0</v>
      </c>
      <c r="E160" s="158">
        <v>5</v>
      </c>
      <c r="F160" s="158">
        <v>0</v>
      </c>
      <c r="G160" s="158">
        <v>0</v>
      </c>
    </row>
    <row r="161" ht="20.05" customHeight="1">
      <c r="A161" s="12"/>
      <c r="B161" s="13"/>
      <c r="C161" t="s" s="159">
        <v>925</v>
      </c>
      <c r="D161" s="158">
        <v>0</v>
      </c>
      <c r="E161" s="158">
        <v>9</v>
      </c>
      <c r="F161" s="158">
        <v>0</v>
      </c>
      <c r="G161" s="158">
        <v>0</v>
      </c>
    </row>
    <row r="162" ht="20.05" customHeight="1">
      <c r="A162" s="12"/>
      <c r="B162" s="13"/>
      <c r="C162" t="s" s="159">
        <v>926</v>
      </c>
      <c r="D162" s="158">
        <v>0</v>
      </c>
      <c r="E162" s="158">
        <v>1</v>
      </c>
      <c r="F162" s="158">
        <v>0</v>
      </c>
      <c r="G162" s="158">
        <v>0</v>
      </c>
    </row>
    <row r="163" ht="22.95" customHeight="1">
      <c r="A163" s="12"/>
      <c r="B163" t="s" s="156">
        <v>927</v>
      </c>
      <c r="C163" t="s" s="157">
        <v>927</v>
      </c>
      <c r="D163" s="158">
        <v>0</v>
      </c>
      <c r="E163" s="158">
        <v>2</v>
      </c>
      <c r="F163" s="158">
        <v>0</v>
      </c>
      <c r="G163" s="158">
        <v>0</v>
      </c>
    </row>
    <row r="164" ht="22.95" customHeight="1">
      <c r="A164" t="s" s="160">
        <v>928</v>
      </c>
      <c r="B164" t="s" s="161">
        <v>929</v>
      </c>
      <c r="C164" t="s" s="162">
        <v>929</v>
      </c>
      <c r="D164" s="163">
        <v>0</v>
      </c>
      <c r="E164" s="163">
        <v>5</v>
      </c>
      <c r="F164" s="163">
        <v>0</v>
      </c>
      <c r="G164" s="163">
        <v>0</v>
      </c>
    </row>
    <row r="165" ht="20.05" customHeight="1">
      <c r="A165" s="12"/>
      <c r="B165" t="s" s="161">
        <v>930</v>
      </c>
      <c r="C165" t="s" s="162">
        <v>931</v>
      </c>
      <c r="D165" s="163">
        <v>0</v>
      </c>
      <c r="E165" s="163">
        <v>2</v>
      </c>
      <c r="F165" s="163">
        <v>0</v>
      </c>
      <c r="G165" s="163">
        <v>0</v>
      </c>
    </row>
    <row r="166" ht="20.05" customHeight="1">
      <c r="A166" s="12"/>
      <c r="B166" s="13"/>
      <c r="C166" t="s" s="162">
        <v>932</v>
      </c>
      <c r="D166" s="163">
        <v>0</v>
      </c>
      <c r="E166" s="163">
        <v>2</v>
      </c>
      <c r="F166" s="163">
        <v>0</v>
      </c>
      <c r="G166" s="163">
        <v>0</v>
      </c>
    </row>
    <row r="167" ht="20.05" customHeight="1">
      <c r="A167" s="12"/>
      <c r="B167" s="13"/>
      <c r="C167" t="s" s="162">
        <v>933</v>
      </c>
      <c r="D167" s="163">
        <v>0</v>
      </c>
      <c r="E167" s="163">
        <v>2</v>
      </c>
      <c r="F167" s="163">
        <v>0</v>
      </c>
      <c r="G167" s="163">
        <v>0</v>
      </c>
    </row>
    <row r="168" ht="20.05" customHeight="1">
      <c r="A168" s="12"/>
      <c r="B168" t="s" s="161">
        <v>934</v>
      </c>
      <c r="C168" t="s" s="162">
        <v>935</v>
      </c>
      <c r="D168" s="163">
        <v>0</v>
      </c>
      <c r="E168" s="163">
        <v>6</v>
      </c>
      <c r="F168" s="163">
        <v>0</v>
      </c>
      <c r="G168" s="163">
        <v>0</v>
      </c>
    </row>
    <row r="169" ht="20.05" customHeight="1">
      <c r="A169" s="12"/>
      <c r="B169" s="13"/>
      <c r="C169" t="s" s="162">
        <v>936</v>
      </c>
      <c r="D169" s="163">
        <v>0</v>
      </c>
      <c r="E169" s="163">
        <v>1</v>
      </c>
      <c r="F169" s="163">
        <v>0</v>
      </c>
      <c r="G169" s="163">
        <v>0</v>
      </c>
    </row>
    <row r="170" ht="20.05" customHeight="1">
      <c r="A170" s="12"/>
      <c r="B170" s="13"/>
      <c r="C170" t="s" s="162">
        <v>937</v>
      </c>
      <c r="D170" s="163">
        <v>0</v>
      </c>
      <c r="E170" s="163">
        <v>4</v>
      </c>
      <c r="F170" s="163">
        <v>0</v>
      </c>
      <c r="G170" s="163">
        <v>0</v>
      </c>
    </row>
    <row r="171" ht="20.05" customHeight="1">
      <c r="A171" s="12"/>
      <c r="B171" t="s" s="161">
        <v>938</v>
      </c>
      <c r="C171" t="s" s="162">
        <v>939</v>
      </c>
      <c r="D171" s="163">
        <v>0</v>
      </c>
      <c r="E171" s="163">
        <v>7</v>
      </c>
      <c r="F171" s="163">
        <v>0</v>
      </c>
      <c r="G171" s="163">
        <v>0</v>
      </c>
    </row>
    <row r="172" ht="20.05" customHeight="1">
      <c r="A172" s="12"/>
      <c r="B172" s="13"/>
      <c r="C172" t="s" s="162">
        <v>940</v>
      </c>
      <c r="D172" s="163">
        <v>0</v>
      </c>
      <c r="E172" s="163">
        <v>3</v>
      </c>
      <c r="F172" s="163">
        <v>0</v>
      </c>
      <c r="G172" s="163">
        <v>0</v>
      </c>
    </row>
    <row r="173" ht="20.05" customHeight="1">
      <c r="A173" s="12"/>
      <c r="B173" t="s" s="161">
        <v>941</v>
      </c>
      <c r="C173" t="s" s="162">
        <v>942</v>
      </c>
      <c r="D173" s="163">
        <v>0</v>
      </c>
      <c r="E173" s="163">
        <v>4</v>
      </c>
      <c r="F173" s="163">
        <v>0</v>
      </c>
      <c r="G173" s="163">
        <v>0</v>
      </c>
    </row>
    <row r="174" ht="20.05" customHeight="1">
      <c r="A174" s="12"/>
      <c r="B174" s="13"/>
      <c r="C174" t="s" s="162">
        <v>943</v>
      </c>
      <c r="D174" s="163">
        <v>0</v>
      </c>
      <c r="E174" s="164">
        <v>0</v>
      </c>
      <c r="F174" s="163">
        <v>0</v>
      </c>
      <c r="G174" s="163">
        <v>0</v>
      </c>
    </row>
    <row r="175" ht="20.05" customHeight="1">
      <c r="A175" s="12"/>
      <c r="B175" s="13"/>
      <c r="C175" t="s" s="162">
        <v>944</v>
      </c>
      <c r="D175" s="163">
        <v>0</v>
      </c>
      <c r="E175" s="164">
        <v>0</v>
      </c>
      <c r="F175" s="163">
        <v>0</v>
      </c>
      <c r="G175" s="163">
        <v>0</v>
      </c>
    </row>
    <row r="176" ht="20.05" customHeight="1">
      <c r="A176" s="12"/>
      <c r="B176" t="s" s="161">
        <v>945</v>
      </c>
      <c r="C176" t="s" s="162">
        <v>946</v>
      </c>
      <c r="D176" s="163">
        <v>0</v>
      </c>
      <c r="E176" s="163">
        <v>1</v>
      </c>
      <c r="F176" s="163">
        <v>0</v>
      </c>
      <c r="G176" s="163">
        <v>0</v>
      </c>
    </row>
    <row r="177" ht="20.05" customHeight="1">
      <c r="A177" s="12"/>
      <c r="B177" s="13"/>
      <c r="C177" t="s" s="162">
        <v>947</v>
      </c>
      <c r="D177" s="163">
        <v>0</v>
      </c>
      <c r="E177" s="164">
        <v>0</v>
      </c>
      <c r="F177" s="163">
        <v>0</v>
      </c>
      <c r="G177" s="163">
        <v>0</v>
      </c>
    </row>
    <row r="178" ht="20.05" customHeight="1">
      <c r="A178" s="12"/>
      <c r="B178" s="13"/>
      <c r="C178" t="s" s="162">
        <v>948</v>
      </c>
      <c r="D178" s="163">
        <v>0</v>
      </c>
      <c r="E178" s="164">
        <v>0</v>
      </c>
      <c r="F178" s="163">
        <v>0</v>
      </c>
      <c r="G178" s="163">
        <v>0</v>
      </c>
    </row>
    <row r="179" ht="20.05" customHeight="1">
      <c r="A179" s="12"/>
      <c r="B179" s="13"/>
      <c r="C179" t="s" s="162">
        <v>949</v>
      </c>
      <c r="D179" s="163">
        <v>0</v>
      </c>
      <c r="E179" s="163">
        <v>1</v>
      </c>
      <c r="F179" s="163">
        <v>0</v>
      </c>
      <c r="G179" s="163">
        <v>0</v>
      </c>
    </row>
    <row r="180" ht="20.05" customHeight="1">
      <c r="A180" s="12"/>
      <c r="B180" s="13"/>
      <c r="C180" t="s" s="162">
        <v>950</v>
      </c>
      <c r="D180" s="163">
        <v>0</v>
      </c>
      <c r="E180" s="163">
        <v>1</v>
      </c>
      <c r="F180" s="163">
        <v>0</v>
      </c>
      <c r="G180" s="163">
        <v>0</v>
      </c>
    </row>
    <row r="181" ht="20.05" customHeight="1">
      <c r="A181" t="s" s="165">
        <v>951</v>
      </c>
      <c r="B181" t="s" s="166">
        <v>952</v>
      </c>
      <c r="C181" t="s" s="167">
        <v>953</v>
      </c>
      <c r="D181" s="164">
        <v>0</v>
      </c>
      <c r="E181" s="164">
        <v>4</v>
      </c>
      <c r="F181" s="164">
        <v>0</v>
      </c>
      <c r="G181" s="164">
        <v>0</v>
      </c>
    </row>
    <row r="182" ht="32.05" customHeight="1">
      <c r="A182" s="12"/>
      <c r="B182" s="13"/>
      <c r="C182" t="s" s="167">
        <v>954</v>
      </c>
      <c r="D182" s="164">
        <v>0</v>
      </c>
      <c r="E182" s="164">
        <v>4</v>
      </c>
      <c r="F182" s="164">
        <v>0</v>
      </c>
      <c r="G182" s="164">
        <v>0</v>
      </c>
    </row>
    <row r="183" ht="20.05" customHeight="1">
      <c r="A183" s="12"/>
      <c r="B183" s="13"/>
      <c r="C183" t="s" s="167">
        <v>955</v>
      </c>
      <c r="D183" s="164">
        <v>1</v>
      </c>
      <c r="E183" s="164">
        <v>4</v>
      </c>
      <c r="F183" s="164">
        <v>0</v>
      </c>
      <c r="G183" s="164">
        <v>0</v>
      </c>
    </row>
    <row r="184" ht="20.05" customHeight="1">
      <c r="A184" s="12"/>
      <c r="B184" s="13"/>
      <c r="C184" t="s" s="167">
        <v>956</v>
      </c>
      <c r="D184" s="164">
        <v>0</v>
      </c>
      <c r="E184" s="164">
        <v>7</v>
      </c>
      <c r="F184" s="164">
        <v>0</v>
      </c>
      <c r="G184" s="164">
        <v>0</v>
      </c>
    </row>
    <row r="185" ht="20.05" customHeight="1">
      <c r="A185" s="12"/>
      <c r="B185" t="s" s="166">
        <v>957</v>
      </c>
      <c r="C185" t="s" s="167">
        <v>958</v>
      </c>
      <c r="D185" s="164">
        <v>1</v>
      </c>
      <c r="E185" s="164">
        <v>4</v>
      </c>
      <c r="F185" s="164">
        <v>1</v>
      </c>
      <c r="G185" s="164">
        <v>0</v>
      </c>
    </row>
    <row r="186" ht="20.05" customHeight="1">
      <c r="A186" s="12"/>
      <c r="B186" s="13"/>
      <c r="C186" t="s" s="167">
        <v>959</v>
      </c>
      <c r="D186" s="164">
        <v>0</v>
      </c>
      <c r="E186" s="164">
        <v>2</v>
      </c>
      <c r="F186" s="164">
        <v>0</v>
      </c>
      <c r="G186" s="164">
        <v>0</v>
      </c>
    </row>
    <row r="187" ht="22.95" customHeight="1">
      <c r="A187" s="12"/>
      <c r="B187" t="s" s="166">
        <v>960</v>
      </c>
      <c r="C187" t="s" s="167">
        <v>496</v>
      </c>
      <c r="D187" s="164">
        <v>1</v>
      </c>
      <c r="E187" s="164">
        <v>12</v>
      </c>
      <c r="F187" s="164">
        <v>0</v>
      </c>
      <c r="G187" s="164">
        <v>0</v>
      </c>
    </row>
    <row r="188" ht="20.05" customHeight="1">
      <c r="A188" s="12"/>
      <c r="B188" t="s" s="166">
        <v>961</v>
      </c>
      <c r="C188" t="s" s="167">
        <v>962</v>
      </c>
      <c r="D188" s="164">
        <v>0</v>
      </c>
      <c r="E188" s="164">
        <v>2</v>
      </c>
      <c r="F188" s="164">
        <v>0</v>
      </c>
      <c r="G188" s="164">
        <v>0</v>
      </c>
    </row>
    <row r="189" ht="20.05" customHeight="1">
      <c r="A189" s="12"/>
      <c r="B189" s="13"/>
      <c r="C189" t="s" s="167">
        <v>963</v>
      </c>
      <c r="D189" s="164">
        <v>0</v>
      </c>
      <c r="E189" s="164">
        <v>2</v>
      </c>
      <c r="F189" s="164">
        <v>0</v>
      </c>
      <c r="G189" s="164">
        <v>0</v>
      </c>
    </row>
    <row r="190" ht="20.05" customHeight="1">
      <c r="A190" s="12"/>
      <c r="B190" s="13"/>
      <c r="C190" t="s" s="167">
        <v>964</v>
      </c>
      <c r="D190" s="164">
        <v>0</v>
      </c>
      <c r="E190" s="164">
        <v>4</v>
      </c>
      <c r="F190" s="164">
        <v>0</v>
      </c>
      <c r="G190" s="164">
        <v>0</v>
      </c>
    </row>
    <row r="191" ht="20.05" customHeight="1">
      <c r="A191" s="12"/>
      <c r="B191" t="s" s="166">
        <v>965</v>
      </c>
      <c r="C191" t="s" s="167">
        <v>966</v>
      </c>
      <c r="D191" s="164">
        <v>0</v>
      </c>
      <c r="E191" s="164">
        <v>7</v>
      </c>
      <c r="F191" s="164">
        <v>0</v>
      </c>
      <c r="G191" s="164">
        <v>0</v>
      </c>
    </row>
    <row r="192" ht="20.05" customHeight="1">
      <c r="A192" s="12"/>
      <c r="B192" s="13"/>
      <c r="C192" t="s" s="167">
        <v>967</v>
      </c>
      <c r="D192" s="164">
        <v>0</v>
      </c>
      <c r="E192" s="164">
        <v>4</v>
      </c>
      <c r="F192" s="164">
        <v>0</v>
      </c>
      <c r="G192" s="164">
        <v>0</v>
      </c>
    </row>
    <row r="193" ht="20.05" customHeight="1">
      <c r="A193" s="12"/>
      <c r="B193" s="13"/>
      <c r="C193" t="s" s="167">
        <v>968</v>
      </c>
      <c r="D193" s="164">
        <v>0</v>
      </c>
      <c r="E193" s="164">
        <v>5</v>
      </c>
      <c r="F193" s="164">
        <v>0</v>
      </c>
      <c r="G193" s="164">
        <v>0</v>
      </c>
    </row>
    <row r="194" ht="20.05" customHeight="1">
      <c r="A194" s="12"/>
      <c r="B194" t="s" s="166">
        <v>969</v>
      </c>
      <c r="C194" t="s" s="167">
        <v>970</v>
      </c>
      <c r="D194" s="164">
        <v>0</v>
      </c>
      <c r="E194" s="164">
        <v>3</v>
      </c>
      <c r="F194" s="164">
        <v>0</v>
      </c>
      <c r="G194" s="164">
        <v>0</v>
      </c>
    </row>
    <row r="195" ht="20.05" customHeight="1">
      <c r="A195" s="12"/>
      <c r="B195" s="13"/>
      <c r="C195" t="s" s="167">
        <v>971</v>
      </c>
      <c r="D195" s="164">
        <v>0</v>
      </c>
      <c r="E195" s="164">
        <v>2</v>
      </c>
      <c r="F195" s="164">
        <v>0</v>
      </c>
      <c r="G195" s="164">
        <v>0</v>
      </c>
    </row>
    <row r="196" ht="20.05" customHeight="1">
      <c r="A196" s="12"/>
      <c r="B196" s="13"/>
      <c r="C196" t="s" s="167">
        <v>972</v>
      </c>
      <c r="D196" s="164">
        <v>0</v>
      </c>
      <c r="E196" s="164">
        <v>3</v>
      </c>
      <c r="F196" s="164">
        <v>0</v>
      </c>
      <c r="G196" s="164">
        <v>0</v>
      </c>
    </row>
    <row r="197" ht="22.95" customHeight="1">
      <c r="A197" s="12"/>
      <c r="B197" t="s" s="166">
        <v>973</v>
      </c>
      <c r="C197" t="s" s="167">
        <v>973</v>
      </c>
      <c r="D197" s="164">
        <v>0</v>
      </c>
      <c r="E197" s="164">
        <v>3</v>
      </c>
      <c r="F197" s="164">
        <v>0</v>
      </c>
      <c r="G197" s="164">
        <v>0</v>
      </c>
    </row>
    <row r="198" ht="20.05" customHeight="1">
      <c r="A198" s="12"/>
      <c r="B198" t="s" s="166">
        <v>974</v>
      </c>
      <c r="C198" t="s" s="167">
        <v>975</v>
      </c>
      <c r="D198" s="164">
        <v>0</v>
      </c>
      <c r="E198" s="164">
        <v>5</v>
      </c>
      <c r="F198" s="164">
        <v>0</v>
      </c>
      <c r="G198" s="164">
        <v>0</v>
      </c>
    </row>
    <row r="199" ht="20.05" customHeight="1">
      <c r="A199" s="12"/>
      <c r="B199" s="13"/>
      <c r="C199" t="s" s="167">
        <v>976</v>
      </c>
      <c r="D199" s="164">
        <v>0</v>
      </c>
      <c r="E199" s="164">
        <v>3</v>
      </c>
      <c r="F199" s="164">
        <v>0</v>
      </c>
      <c r="G199" s="164">
        <v>0</v>
      </c>
    </row>
    <row r="200" ht="20.05" customHeight="1">
      <c r="A200" s="12"/>
      <c r="B200" s="13"/>
      <c r="C200" t="s" s="167">
        <v>977</v>
      </c>
      <c r="D200" s="164">
        <v>0</v>
      </c>
      <c r="E200" s="164">
        <v>3</v>
      </c>
      <c r="F200" s="164">
        <v>0</v>
      </c>
      <c r="G200" s="164">
        <v>0</v>
      </c>
    </row>
    <row r="201" ht="20.05" customHeight="1">
      <c r="A201" t="s" s="168">
        <v>978</v>
      </c>
      <c r="B201" t="s" s="58">
        <v>979</v>
      </c>
      <c r="C201" t="s" s="38">
        <v>980</v>
      </c>
      <c r="D201" s="39">
        <v>0</v>
      </c>
      <c r="E201" s="39">
        <v>2</v>
      </c>
      <c r="F201" s="39">
        <v>0</v>
      </c>
      <c r="G201" s="39">
        <v>0</v>
      </c>
    </row>
    <row r="202" ht="20.05" customHeight="1">
      <c r="A202" s="12"/>
      <c r="B202" s="13"/>
      <c r="C202" t="s" s="38">
        <v>981</v>
      </c>
      <c r="D202" s="39">
        <v>0</v>
      </c>
      <c r="E202" s="39">
        <v>6</v>
      </c>
      <c r="F202" s="39">
        <v>0</v>
      </c>
      <c r="G202" s="39">
        <v>0</v>
      </c>
    </row>
    <row r="203" ht="20.05" customHeight="1">
      <c r="A203" s="12"/>
      <c r="B203" s="13"/>
      <c r="C203" t="s" s="38">
        <v>982</v>
      </c>
      <c r="D203" s="39">
        <v>0</v>
      </c>
      <c r="E203" s="39">
        <v>18</v>
      </c>
      <c r="F203" s="39">
        <v>0</v>
      </c>
      <c r="G203" s="39">
        <v>0</v>
      </c>
    </row>
    <row r="204" ht="32.05" customHeight="1">
      <c r="A204" s="12"/>
      <c r="B204" s="13"/>
      <c r="C204" t="s" s="38">
        <v>983</v>
      </c>
      <c r="D204" s="39">
        <v>0</v>
      </c>
      <c r="E204" s="39">
        <v>4</v>
      </c>
      <c r="F204" s="39">
        <v>0</v>
      </c>
      <c r="G204" s="39">
        <v>0</v>
      </c>
    </row>
    <row r="205" ht="22.95" customHeight="1">
      <c r="A205" s="12"/>
      <c r="B205" t="s" s="58">
        <v>984</v>
      </c>
      <c r="C205" t="s" s="38">
        <v>984</v>
      </c>
      <c r="D205" s="39">
        <v>0</v>
      </c>
      <c r="E205" s="39">
        <v>8</v>
      </c>
      <c r="F205" s="39">
        <v>0</v>
      </c>
      <c r="G205" s="39">
        <v>0</v>
      </c>
    </row>
    <row r="206" ht="22.95" customHeight="1">
      <c r="A206" s="12"/>
      <c r="B206" t="s" s="58">
        <v>985</v>
      </c>
      <c r="C206" t="s" s="38">
        <v>985</v>
      </c>
      <c r="D206" s="39">
        <v>0</v>
      </c>
      <c r="E206" s="39">
        <v>3</v>
      </c>
      <c r="F206" s="39">
        <v>0</v>
      </c>
      <c r="G206" s="39">
        <v>0</v>
      </c>
    </row>
    <row r="207" ht="20.05" customHeight="1">
      <c r="A207" t="s" s="63">
        <v>986</v>
      </c>
      <c r="B207" t="s" s="64">
        <v>987</v>
      </c>
      <c r="C207" t="s" s="65">
        <v>988</v>
      </c>
      <c r="D207" s="66">
        <v>0</v>
      </c>
      <c r="E207" s="66">
        <v>5</v>
      </c>
      <c r="F207" s="66">
        <v>0</v>
      </c>
      <c r="G207" s="66">
        <v>0</v>
      </c>
    </row>
    <row r="208" ht="20.05" customHeight="1">
      <c r="A208" s="12"/>
      <c r="B208" s="13"/>
      <c r="C208" t="s" s="65">
        <v>989</v>
      </c>
      <c r="D208" s="66">
        <v>0</v>
      </c>
      <c r="E208" s="66">
        <v>3</v>
      </c>
      <c r="F208" s="66">
        <v>0</v>
      </c>
      <c r="G208" s="66">
        <v>0</v>
      </c>
    </row>
    <row r="209" ht="20.05" customHeight="1">
      <c r="A209" s="12"/>
      <c r="B209" s="13"/>
      <c r="C209" t="s" s="65">
        <v>990</v>
      </c>
      <c r="D209" s="66">
        <v>0</v>
      </c>
      <c r="E209" s="66">
        <v>4</v>
      </c>
      <c r="F209" s="66">
        <v>0</v>
      </c>
      <c r="G209" s="66">
        <v>0</v>
      </c>
    </row>
    <row r="210" ht="20.05" customHeight="1">
      <c r="A210" s="12"/>
      <c r="B210" s="13"/>
      <c r="C210" t="s" s="65">
        <v>991</v>
      </c>
      <c r="D210" s="66">
        <v>0</v>
      </c>
      <c r="E210" s="66">
        <v>1</v>
      </c>
      <c r="F210" s="66">
        <v>0</v>
      </c>
      <c r="G210" s="66">
        <v>0</v>
      </c>
    </row>
    <row r="211" ht="20.05" customHeight="1">
      <c r="A211" s="12"/>
      <c r="B211" t="s" s="64">
        <v>992</v>
      </c>
      <c r="C211" t="s" s="65">
        <v>993</v>
      </c>
      <c r="D211" s="66">
        <v>0</v>
      </c>
      <c r="E211" s="66">
        <v>3</v>
      </c>
      <c r="F211" s="66">
        <v>0</v>
      </c>
      <c r="G211" s="66">
        <v>0</v>
      </c>
    </row>
    <row r="212" ht="20.05" customHeight="1">
      <c r="A212" s="12"/>
      <c r="B212" s="13"/>
      <c r="C212" t="s" s="65">
        <v>994</v>
      </c>
      <c r="D212" s="66">
        <v>0</v>
      </c>
      <c r="E212" s="66">
        <v>2</v>
      </c>
      <c r="F212" s="66">
        <v>0</v>
      </c>
      <c r="G212" s="66">
        <v>0</v>
      </c>
    </row>
    <row r="213" ht="20.05" customHeight="1">
      <c r="A213" s="12"/>
      <c r="B213" s="13"/>
      <c r="C213" t="s" s="65">
        <v>995</v>
      </c>
      <c r="D213" s="66">
        <v>0</v>
      </c>
      <c r="E213" s="66">
        <v>1</v>
      </c>
      <c r="F213" s="66">
        <v>0</v>
      </c>
      <c r="G213" s="66">
        <v>0</v>
      </c>
    </row>
    <row r="214" ht="20.05" customHeight="1">
      <c r="A214" s="12"/>
      <c r="B214" s="13"/>
      <c r="C214" t="s" s="65">
        <v>996</v>
      </c>
      <c r="D214" s="66">
        <v>0</v>
      </c>
      <c r="E214" s="66">
        <v>1</v>
      </c>
      <c r="F214" s="66">
        <v>0</v>
      </c>
      <c r="G214" s="66">
        <v>0</v>
      </c>
    </row>
    <row r="215" ht="20.05" customHeight="1">
      <c r="A215" s="12"/>
      <c r="B215" s="13"/>
      <c r="C215" t="s" s="65">
        <v>997</v>
      </c>
      <c r="D215" s="66">
        <v>0</v>
      </c>
      <c r="E215" s="66">
        <v>2</v>
      </c>
      <c r="F215" s="66">
        <v>0</v>
      </c>
      <c r="G215" s="66">
        <v>0</v>
      </c>
    </row>
    <row r="216" ht="20.05" customHeight="1">
      <c r="A216" s="12"/>
      <c r="B216" t="s" s="64">
        <v>998</v>
      </c>
      <c r="C216" t="s" s="65">
        <v>999</v>
      </c>
      <c r="D216" s="66">
        <v>0</v>
      </c>
      <c r="E216" s="66">
        <v>2</v>
      </c>
      <c r="F216" s="66">
        <v>0</v>
      </c>
      <c r="G216" s="66">
        <v>0</v>
      </c>
    </row>
    <row r="217" ht="20.05" customHeight="1">
      <c r="A217" s="12"/>
      <c r="B217" s="13"/>
      <c r="C217" t="s" s="65">
        <v>1000</v>
      </c>
      <c r="D217" s="66">
        <v>0</v>
      </c>
      <c r="E217" s="66">
        <v>1</v>
      </c>
      <c r="F217" s="66">
        <v>0</v>
      </c>
      <c r="G217" s="66">
        <v>0</v>
      </c>
    </row>
    <row r="218" ht="20.05" customHeight="1">
      <c r="A218" s="12"/>
      <c r="B218" s="13"/>
      <c r="C218" t="s" s="65">
        <v>1001</v>
      </c>
      <c r="D218" s="66">
        <v>0</v>
      </c>
      <c r="E218" s="66">
        <v>2</v>
      </c>
      <c r="F218" s="66">
        <v>0</v>
      </c>
      <c r="G218" s="66">
        <v>0</v>
      </c>
    </row>
    <row r="219" ht="20.05" customHeight="1">
      <c r="A219" s="12"/>
      <c r="B219" s="13"/>
      <c r="C219" t="s" s="65">
        <v>1002</v>
      </c>
      <c r="D219" s="66">
        <v>0</v>
      </c>
      <c r="E219" s="66">
        <v>3</v>
      </c>
      <c r="F219" s="66">
        <v>0</v>
      </c>
      <c r="G219" s="66">
        <v>0</v>
      </c>
    </row>
    <row r="220" ht="20.05" customHeight="1">
      <c r="A220" s="12"/>
      <c r="B220" s="13"/>
      <c r="C220" t="s" s="65">
        <v>1003</v>
      </c>
      <c r="D220" s="66">
        <v>0</v>
      </c>
      <c r="E220" s="66">
        <v>1</v>
      </c>
      <c r="F220" s="66">
        <v>0</v>
      </c>
      <c r="G220" s="66">
        <v>0</v>
      </c>
    </row>
    <row r="221" ht="20.05" customHeight="1">
      <c r="A221" s="12"/>
      <c r="B221" s="13"/>
      <c r="C221" t="s" s="65">
        <v>1004</v>
      </c>
      <c r="D221" s="66">
        <v>0</v>
      </c>
      <c r="E221" s="66">
        <v>11</v>
      </c>
      <c r="F221" s="66">
        <v>0</v>
      </c>
      <c r="G221" s="66">
        <v>0</v>
      </c>
    </row>
    <row r="222" ht="30.8" customHeight="1">
      <c r="A222" t="s" s="70">
        <v>448</v>
      </c>
      <c r="B222" s="13"/>
      <c r="C222" s="14"/>
      <c r="D222" s="71"/>
      <c r="E222" s="71"/>
      <c r="F222" s="71"/>
      <c r="G222" s="71"/>
    </row>
    <row r="224" ht="31.55" customHeight="1">
      <c r="H224" t="s" s="73">
        <v>1005</v>
      </c>
      <c r="I224" s="73"/>
      <c r="J224" s="73"/>
      <c r="K224" s="73"/>
      <c r="L224" s="73"/>
      <c r="M224" s="73"/>
      <c r="N224" s="73"/>
    </row>
    <row r="225" ht="44.25" customHeight="1">
      <c r="H225" s="4"/>
      <c r="I225" t="s" s="74">
        <v>2</v>
      </c>
      <c r="J225" t="s" s="74">
        <v>3</v>
      </c>
      <c r="K225" t="s" s="74">
        <v>4</v>
      </c>
      <c r="L225" t="s" s="74">
        <v>794</v>
      </c>
      <c r="M225" t="s" s="74">
        <v>451</v>
      </c>
      <c r="N225" t="s" s="74">
        <v>8</v>
      </c>
    </row>
    <row r="226" ht="20.25" customHeight="1">
      <c r="H226" t="s" s="75">
        <v>9</v>
      </c>
      <c r="I226" s="76">
        <v>9</v>
      </c>
      <c r="J226" s="77">
        <v>41</v>
      </c>
      <c r="K226" s="77">
        <f>SUM(D4:D44)</f>
        <v>29</v>
      </c>
      <c r="L226" s="77">
        <f>SUM(E4:E44)</f>
        <v>200</v>
      </c>
      <c r="M226" s="77">
        <f>SUM(F4:F44)</f>
        <v>13</v>
      </c>
      <c r="N226" s="77">
        <f>SUM(G4:G44)</f>
        <v>17</v>
      </c>
    </row>
    <row r="227" ht="20.05" customHeight="1">
      <c r="H227" t="s" s="78">
        <v>50</v>
      </c>
      <c r="I227" s="79">
        <v>3</v>
      </c>
      <c r="J227" s="80">
        <v>12</v>
      </c>
      <c r="K227" s="80">
        <f>SUM(D45:D53)</f>
        <v>9</v>
      </c>
      <c r="L227" s="80">
        <f>SUM(E45:E53)</f>
        <v>42</v>
      </c>
      <c r="M227" s="80">
        <f>SUM(F45:F53)</f>
        <v>2</v>
      </c>
      <c r="N227" s="80">
        <f>SUM(G45:G53)</f>
        <v>4</v>
      </c>
    </row>
    <row r="228" ht="20.05" customHeight="1">
      <c r="H228" t="s" s="78">
        <v>77</v>
      </c>
      <c r="I228" s="79">
        <v>3</v>
      </c>
      <c r="J228" s="80">
        <v>8</v>
      </c>
      <c r="K228" s="80">
        <f>SUM(D54:D61)</f>
        <v>0</v>
      </c>
      <c r="L228" s="80">
        <f>SUM(E54:E61)</f>
        <v>41</v>
      </c>
      <c r="M228" s="80">
        <f>SUM(F54:F61)</f>
        <v>0</v>
      </c>
      <c r="N228" s="80">
        <f>SUM(G54:G61)</f>
        <v>0</v>
      </c>
    </row>
    <row r="229" ht="20.05" customHeight="1">
      <c r="H229" t="s" s="78">
        <v>92</v>
      </c>
      <c r="I229" s="79">
        <v>4</v>
      </c>
      <c r="J229" s="80">
        <v>11</v>
      </c>
      <c r="K229" s="80">
        <f>SUM(D62:D72)</f>
        <v>2</v>
      </c>
      <c r="L229" s="80">
        <f>SUM(E62:E72)</f>
        <v>43</v>
      </c>
      <c r="M229" s="80">
        <f>SUM(F62:F72)</f>
        <v>3</v>
      </c>
      <c r="N229" s="80">
        <f>SUM(G62:G72)</f>
        <v>3</v>
      </c>
    </row>
    <row r="230" ht="20.05" customHeight="1">
      <c r="H230" t="s" s="78">
        <v>825</v>
      </c>
      <c r="I230" s="79">
        <v>3</v>
      </c>
      <c r="J230" s="80">
        <v>12</v>
      </c>
      <c r="K230" s="80">
        <f>SUM(D73:D84)</f>
        <v>0</v>
      </c>
      <c r="L230" s="80">
        <f>SUM(E73:E84)</f>
        <v>44</v>
      </c>
      <c r="M230" s="80">
        <f>SUM(F73:F84)</f>
        <v>0</v>
      </c>
      <c r="N230" s="80">
        <f>SUM(G73:G84)</f>
        <v>0</v>
      </c>
    </row>
    <row r="231" ht="20.05" customHeight="1">
      <c r="H231" t="s" s="78">
        <v>841</v>
      </c>
      <c r="I231" s="79">
        <v>7</v>
      </c>
      <c r="J231" s="80">
        <v>16</v>
      </c>
      <c r="K231" s="80">
        <f>SUM(D85:D99)</f>
        <v>2</v>
      </c>
      <c r="L231" s="80">
        <f>SUM(E85:E99)</f>
        <v>63</v>
      </c>
      <c r="M231" s="80">
        <f>SUM(F85:F99)</f>
        <v>0</v>
      </c>
      <c r="N231" s="80">
        <f>SUM(G85:G99)</f>
        <v>2</v>
      </c>
    </row>
    <row r="232" ht="20.05" customHeight="1">
      <c r="H232" t="s" s="78">
        <v>861</v>
      </c>
      <c r="I232" s="79">
        <v>4</v>
      </c>
      <c r="J232" s="80">
        <v>4</v>
      </c>
      <c r="K232" s="80">
        <f>SUM(D100:D103)</f>
        <v>1</v>
      </c>
      <c r="L232" s="80">
        <f>SUM(E100:E103)</f>
        <v>31</v>
      </c>
      <c r="M232" s="80">
        <f>SUM(F100:F103)</f>
        <v>0</v>
      </c>
      <c r="N232" s="80">
        <f>SUM(G100:G103)</f>
        <v>1</v>
      </c>
    </row>
    <row r="233" ht="20.05" customHeight="1">
      <c r="H233" t="s" s="78">
        <v>492</v>
      </c>
      <c r="I233" s="79">
        <v>3</v>
      </c>
      <c r="J233" s="80">
        <v>5</v>
      </c>
      <c r="K233" s="80">
        <f>SUM(D104:D108)</f>
        <v>0</v>
      </c>
      <c r="L233" s="80">
        <f>SUM(E104:E108)</f>
        <v>25</v>
      </c>
      <c r="M233" s="80">
        <f>SUM(F104:F108)</f>
        <v>0</v>
      </c>
      <c r="N233" s="80">
        <f>SUM(G104:G108)</f>
        <v>0</v>
      </c>
    </row>
    <row r="234" ht="20.05" customHeight="1">
      <c r="H234" t="s" s="78">
        <v>871</v>
      </c>
      <c r="I234" s="79">
        <v>5</v>
      </c>
      <c r="J234" s="80">
        <v>17</v>
      </c>
      <c r="K234" s="80">
        <f>SUM(D109:D125)</f>
        <v>0</v>
      </c>
      <c r="L234" s="80">
        <f>SUM(E109:E125)</f>
        <v>74</v>
      </c>
      <c r="M234" s="80">
        <f>SUM(F109:F125)</f>
        <v>0</v>
      </c>
      <c r="N234" s="80">
        <f>SUM(G109:G125)</f>
        <v>1</v>
      </c>
    </row>
    <row r="235" ht="20.05" customHeight="1">
      <c r="H235" t="s" s="78">
        <v>885</v>
      </c>
      <c r="I235" s="79">
        <v>4</v>
      </c>
      <c r="J235" s="80">
        <v>14</v>
      </c>
      <c r="K235" s="80">
        <f>SUM(D127:D140)</f>
        <v>0</v>
      </c>
      <c r="L235" s="80">
        <f>SUM(E127:E140)</f>
        <v>65</v>
      </c>
      <c r="M235" s="80">
        <f>SUM(F127:F140)</f>
        <v>0</v>
      </c>
      <c r="N235" s="80">
        <f>SUM(G127:G140)</f>
        <v>0</v>
      </c>
    </row>
    <row r="236" ht="20.05" customHeight="1">
      <c r="H236" t="s" s="78">
        <v>901</v>
      </c>
      <c r="I236" s="79">
        <v>3</v>
      </c>
      <c r="J236" s="80">
        <v>5</v>
      </c>
      <c r="K236" s="80">
        <f>SUM(D141:D145)</f>
        <v>0</v>
      </c>
      <c r="L236" s="80">
        <f>SUM(E141:E145)</f>
        <v>26</v>
      </c>
      <c r="M236" s="80">
        <f>SUM(F141:F145)</f>
        <v>0</v>
      </c>
      <c r="N236" s="80">
        <f>SUM(G141:G145)</f>
        <v>0</v>
      </c>
    </row>
    <row r="237" ht="20.05" customHeight="1">
      <c r="H237" t="s" s="78">
        <v>390</v>
      </c>
      <c r="I237" s="79">
        <v>4</v>
      </c>
      <c r="J237" s="80">
        <v>8</v>
      </c>
      <c r="K237" s="80">
        <f>SUM(D146:D153)</f>
        <v>3</v>
      </c>
      <c r="L237" s="80">
        <f>SUM(E146:E153)</f>
        <v>45</v>
      </c>
      <c r="M237" s="80">
        <f>SUM(F146:F153)</f>
        <v>0</v>
      </c>
      <c r="N237" s="80">
        <f>SUM(G146:G153)</f>
        <v>1</v>
      </c>
    </row>
    <row r="238" ht="20.05" customHeight="1">
      <c r="H238" t="s" s="78">
        <v>914</v>
      </c>
      <c r="I238" s="79">
        <v>4</v>
      </c>
      <c r="J238" s="80">
        <v>10</v>
      </c>
      <c r="K238" s="80">
        <f>SUM(D154:D163)</f>
        <v>0</v>
      </c>
      <c r="L238" s="80">
        <f>SUM(E154:E163)</f>
        <v>40</v>
      </c>
      <c r="M238" s="80">
        <f>SUM(F154:F163)</f>
        <v>0</v>
      </c>
      <c r="N238" s="80">
        <f>SUM(G154:G163)</f>
        <v>0</v>
      </c>
    </row>
    <row r="239" ht="20.05" customHeight="1">
      <c r="H239" t="s" s="78">
        <v>928</v>
      </c>
      <c r="I239" s="79">
        <v>6</v>
      </c>
      <c r="J239" s="80">
        <v>17</v>
      </c>
      <c r="K239" s="80">
        <f>SUM(D164:D180)</f>
        <v>0</v>
      </c>
      <c r="L239" s="80">
        <f>SUM(E164:E180)</f>
        <v>39</v>
      </c>
      <c r="M239" s="80">
        <f>SUM(F164:F180)</f>
        <v>0</v>
      </c>
      <c r="N239" s="80">
        <f>SUM(G164:G180)</f>
        <v>0</v>
      </c>
    </row>
    <row r="240" ht="20.05" customHeight="1">
      <c r="H240" t="s" s="78">
        <v>951</v>
      </c>
      <c r="I240" s="79">
        <v>8</v>
      </c>
      <c r="J240" s="80">
        <v>22</v>
      </c>
      <c r="K240" s="80">
        <f>SUM(D181:D200)</f>
        <v>3</v>
      </c>
      <c r="L240" s="80">
        <f>SUM(E181:E200)</f>
        <v>83</v>
      </c>
      <c r="M240" s="80">
        <f>SUM(F181:F200)</f>
        <v>1</v>
      </c>
      <c r="N240" s="80">
        <f>SUM(G181:G200)</f>
        <v>0</v>
      </c>
    </row>
    <row r="241" ht="20.05" customHeight="1">
      <c r="H241" t="s" s="78">
        <v>978</v>
      </c>
      <c r="I241" s="79">
        <v>3</v>
      </c>
      <c r="J241" s="80">
        <v>6</v>
      </c>
      <c r="K241" s="80">
        <f>SUM(D201:D206)</f>
        <v>0</v>
      </c>
      <c r="L241" s="80">
        <f>SUM(E201:E206)</f>
        <v>41</v>
      </c>
      <c r="M241" s="80">
        <f>SUM(F201:F206)</f>
        <v>0</v>
      </c>
      <c r="N241" s="80">
        <f>SUM(G201:G206)</f>
        <v>0</v>
      </c>
    </row>
    <row r="242" ht="20.05" customHeight="1">
      <c r="H242" t="s" s="78">
        <v>1006</v>
      </c>
      <c r="I242" s="79">
        <v>3</v>
      </c>
      <c r="J242" s="80">
        <v>15</v>
      </c>
      <c r="K242" s="80">
        <f>SUM(D207:D221)</f>
        <v>0</v>
      </c>
      <c r="L242" s="80">
        <f>SUM(E207:E221)</f>
        <v>42</v>
      </c>
      <c r="M242" s="80">
        <f>SUM(F207:F221)</f>
        <v>0</v>
      </c>
      <c r="N242" s="80">
        <f>SUM(G207:G221)</f>
        <v>0</v>
      </c>
    </row>
    <row r="243" ht="20.05" customHeight="1">
      <c r="H243" t="s" s="81">
        <v>448</v>
      </c>
      <c r="I243" s="82">
        <f>SUM(I226:I242)</f>
        <v>76</v>
      </c>
      <c r="J243" s="62">
        <f>SUM(J226:J242)</f>
        <v>223</v>
      </c>
      <c r="K243" s="83">
        <f>SUM(K226:K242)</f>
        <v>49</v>
      </c>
      <c r="L243" s="62">
        <f>SUM(L226:L242)</f>
        <v>944</v>
      </c>
      <c r="M243" s="84">
        <f>SUM(M226:M242)</f>
        <v>19</v>
      </c>
      <c r="N243" s="84">
        <f>SUM(N226:N242)</f>
        <v>29</v>
      </c>
    </row>
    <row r="244" ht="20.05" customHeight="1">
      <c r="H244" t="s" s="78">
        <v>466</v>
      </c>
      <c r="I244" s="85"/>
      <c r="J244" s="71"/>
      <c r="K244" s="71"/>
      <c r="L244" s="71"/>
      <c r="M244" s="29">
        <f>SUM(K243+M243)</f>
        <v>68</v>
      </c>
      <c r="N244" s="86"/>
    </row>
  </sheetData>
  <mergeCells count="81">
    <mergeCell ref="A1:G1"/>
    <mergeCell ref="B17:B23"/>
    <mergeCell ref="B24:B31"/>
    <mergeCell ref="B57:B60"/>
    <mergeCell ref="B62:B64"/>
    <mergeCell ref="B69:B72"/>
    <mergeCell ref="B112"/>
    <mergeCell ref="B130:B133"/>
    <mergeCell ref="B134:B137"/>
    <mergeCell ref="B9:B13"/>
    <mergeCell ref="B14:B16"/>
    <mergeCell ref="B216:B221"/>
    <mergeCell ref="B205"/>
    <mergeCell ref="B206"/>
    <mergeCell ref="A181:A200"/>
    <mergeCell ref="B194:B196"/>
    <mergeCell ref="B198:B200"/>
    <mergeCell ref="A164:A180"/>
    <mergeCell ref="B176:B180"/>
    <mergeCell ref="B154:B157"/>
    <mergeCell ref="B160:B162"/>
    <mergeCell ref="A154:A163"/>
    <mergeCell ref="B115:B122"/>
    <mergeCell ref="B113:B114"/>
    <mergeCell ref="B109:B111"/>
    <mergeCell ref="B185:B186"/>
    <mergeCell ref="A146:A153"/>
    <mergeCell ref="B107:B108"/>
    <mergeCell ref="A104:A108"/>
    <mergeCell ref="B85"/>
    <mergeCell ref="B92:B96"/>
    <mergeCell ref="B97:B98"/>
    <mergeCell ref="B73:B77"/>
    <mergeCell ref="B78:B82"/>
    <mergeCell ref="B83:B84"/>
    <mergeCell ref="B47:B51"/>
    <mergeCell ref="B45:B46"/>
    <mergeCell ref="B41:B44"/>
    <mergeCell ref="B66:B68"/>
    <mergeCell ref="A100:A103"/>
    <mergeCell ref="B152:B153"/>
    <mergeCell ref="B143:B144"/>
    <mergeCell ref="A141:A145"/>
    <mergeCell ref="A207:A221"/>
    <mergeCell ref="B207:B210"/>
    <mergeCell ref="B211:B215"/>
    <mergeCell ref="A54:A61"/>
    <mergeCell ref="B148:B151"/>
    <mergeCell ref="A126:A140"/>
    <mergeCell ref="B126:B129"/>
    <mergeCell ref="B4:B6"/>
    <mergeCell ref="A4:A44"/>
    <mergeCell ref="A45:A53"/>
    <mergeCell ref="B7:B8"/>
    <mergeCell ref="B32:B37"/>
    <mergeCell ref="B38:B40"/>
    <mergeCell ref="B52:B53"/>
    <mergeCell ref="B54:B56"/>
    <mergeCell ref="A62:A72"/>
    <mergeCell ref="A73:A84"/>
    <mergeCell ref="B86:B87"/>
    <mergeCell ref="B88:B89"/>
    <mergeCell ref="B90:B91"/>
    <mergeCell ref="A85:A99"/>
    <mergeCell ref="B104:B105"/>
    <mergeCell ref="A109:A125"/>
    <mergeCell ref="B123:B125"/>
    <mergeCell ref="B138:B140"/>
    <mergeCell ref="B141:B142"/>
    <mergeCell ref="B158:B159"/>
    <mergeCell ref="B165:B167"/>
    <mergeCell ref="B168:B170"/>
    <mergeCell ref="B171:B172"/>
    <mergeCell ref="B173:B175"/>
    <mergeCell ref="B187"/>
    <mergeCell ref="B188:B190"/>
    <mergeCell ref="B191:B193"/>
    <mergeCell ref="A201:A206"/>
    <mergeCell ref="B181:B184"/>
    <mergeCell ref="B201:B204"/>
    <mergeCell ref="H224:N224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2:N35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7578" style="170" customWidth="1"/>
    <col min="2" max="2" width="47.2188" style="170" customWidth="1"/>
    <col min="3" max="3" width="34.1406" style="170" customWidth="1"/>
    <col min="4" max="7" width="16.3516" style="170" customWidth="1"/>
    <col min="8" max="8" width="40.8203" style="200" customWidth="1"/>
    <col min="9" max="14" width="16.3516" style="200" customWidth="1"/>
    <col min="15" max="16384" width="16.3516" style="200" customWidth="1"/>
  </cols>
  <sheetData>
    <row r="1" ht="37.4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4"/>
      <c r="E2" s="4"/>
      <c r="F2" s="4"/>
      <c r="G2" s="4"/>
    </row>
    <row r="3" ht="32.25" customHeight="1">
      <c r="A3" t="s" s="5">
        <v>1</v>
      </c>
      <c r="B3" t="s" s="6">
        <v>2</v>
      </c>
      <c r="C3" t="s" s="7">
        <v>3</v>
      </c>
      <c r="D3" t="s" s="7">
        <v>4</v>
      </c>
      <c r="E3" t="s" s="7">
        <v>794</v>
      </c>
      <c r="F3" t="s" s="7">
        <v>7</v>
      </c>
      <c r="G3" t="s" s="7">
        <v>8</v>
      </c>
    </row>
    <row r="4" ht="20.05" customHeight="1">
      <c r="A4" t="s" s="8">
        <v>9</v>
      </c>
      <c r="B4" t="s" s="9">
        <v>16</v>
      </c>
      <c r="C4" t="s" s="10">
        <v>17</v>
      </c>
      <c r="D4" s="11">
        <v>1</v>
      </c>
      <c r="E4" s="11">
        <v>13</v>
      </c>
      <c r="F4" s="11">
        <v>3</v>
      </c>
      <c r="G4" s="11">
        <v>1</v>
      </c>
    </row>
    <row r="5" ht="20.05" customHeight="1">
      <c r="A5" s="12"/>
      <c r="B5" s="13"/>
      <c r="C5" t="s" s="10">
        <v>18</v>
      </c>
      <c r="D5" s="11">
        <v>0</v>
      </c>
      <c r="E5" s="11">
        <v>3</v>
      </c>
      <c r="F5" s="11">
        <v>0</v>
      </c>
      <c r="G5" s="11">
        <v>0</v>
      </c>
    </row>
    <row r="6" ht="20.05" customHeight="1">
      <c r="A6" s="12"/>
      <c r="B6" s="13"/>
      <c r="C6" t="s" s="10">
        <v>19</v>
      </c>
      <c r="D6" s="11">
        <v>2</v>
      </c>
      <c r="E6" s="11">
        <v>15</v>
      </c>
      <c r="F6" s="11">
        <v>2</v>
      </c>
      <c r="G6" s="11">
        <v>1</v>
      </c>
    </row>
    <row r="7" ht="20.05" customHeight="1">
      <c r="A7" s="12"/>
      <c r="B7" s="13"/>
      <c r="C7" t="s" s="10">
        <v>20</v>
      </c>
      <c r="D7" s="11">
        <v>1</v>
      </c>
      <c r="E7" s="11">
        <v>9</v>
      </c>
      <c r="F7" s="11">
        <v>1</v>
      </c>
      <c r="G7" s="11">
        <v>1</v>
      </c>
    </row>
    <row r="8" ht="20.05" customHeight="1">
      <c r="A8" s="12"/>
      <c r="B8" s="13"/>
      <c r="C8" t="s" s="10">
        <v>21</v>
      </c>
      <c r="D8" s="11">
        <v>1</v>
      </c>
      <c r="E8" s="11">
        <v>10</v>
      </c>
      <c r="F8" s="11">
        <v>0</v>
      </c>
      <c r="G8" s="11">
        <v>1</v>
      </c>
    </row>
    <row r="9" ht="20.05" customHeight="1">
      <c r="A9" s="12"/>
      <c r="B9" s="13"/>
      <c r="C9" t="s" s="10">
        <v>22</v>
      </c>
      <c r="D9" s="11">
        <v>1</v>
      </c>
      <c r="E9" s="11">
        <v>6</v>
      </c>
      <c r="F9" s="11">
        <v>1</v>
      </c>
      <c r="G9" s="11">
        <v>1</v>
      </c>
    </row>
    <row r="10" ht="20.05" customHeight="1">
      <c r="A10" s="12"/>
      <c r="B10" s="13"/>
      <c r="C10" t="s" s="10">
        <v>806</v>
      </c>
      <c r="D10" s="11">
        <v>0</v>
      </c>
      <c r="E10" s="11">
        <v>2</v>
      </c>
      <c r="F10" s="11">
        <v>0</v>
      </c>
      <c r="G10" s="11">
        <v>1</v>
      </c>
    </row>
    <row r="11" ht="20.05" customHeight="1">
      <c r="A11" s="12"/>
      <c r="B11" t="s" s="9">
        <v>23</v>
      </c>
      <c r="C11" t="s" s="10">
        <v>24</v>
      </c>
      <c r="D11" s="11">
        <v>0</v>
      </c>
      <c r="E11" s="11">
        <v>14</v>
      </c>
      <c r="F11" s="11">
        <v>1</v>
      </c>
      <c r="G11" s="11">
        <v>1</v>
      </c>
    </row>
    <row r="12" ht="20.05" customHeight="1">
      <c r="A12" s="12"/>
      <c r="B12" s="13"/>
      <c r="C12" t="s" s="10">
        <v>25</v>
      </c>
      <c r="D12" s="11">
        <v>1</v>
      </c>
      <c r="E12" s="11">
        <v>4</v>
      </c>
      <c r="F12" s="11">
        <v>0</v>
      </c>
      <c r="G12" s="11">
        <v>1</v>
      </c>
    </row>
    <row r="13" ht="20.05" customHeight="1">
      <c r="A13" s="12"/>
      <c r="B13" s="13"/>
      <c r="C13" t="s" s="10">
        <v>26</v>
      </c>
      <c r="D13" s="11">
        <v>0</v>
      </c>
      <c r="E13" s="11">
        <v>3</v>
      </c>
      <c r="F13" s="11">
        <v>0</v>
      </c>
      <c r="G13" s="11">
        <v>1</v>
      </c>
    </row>
    <row r="14" ht="20.05" customHeight="1">
      <c r="A14" s="12"/>
      <c r="B14" s="13"/>
      <c r="C14" t="s" s="10">
        <v>27</v>
      </c>
      <c r="D14" s="11">
        <v>0</v>
      </c>
      <c r="E14" s="11">
        <v>4</v>
      </c>
      <c r="F14" s="11">
        <v>1</v>
      </c>
      <c r="G14" s="11">
        <v>1</v>
      </c>
    </row>
    <row r="15" ht="20.05" customHeight="1">
      <c r="A15" s="12"/>
      <c r="B15" s="13"/>
      <c r="C15" t="s" s="10">
        <v>28</v>
      </c>
      <c r="D15" s="11">
        <v>0</v>
      </c>
      <c r="E15" s="11">
        <v>3</v>
      </c>
      <c r="F15" s="11">
        <v>0</v>
      </c>
      <c r="G15" s="11">
        <v>0</v>
      </c>
    </row>
    <row r="16" ht="20.05" customHeight="1">
      <c r="A16" s="12"/>
      <c r="B16" s="13"/>
      <c r="C16" t="s" s="10">
        <v>807</v>
      </c>
      <c r="D16" s="11">
        <v>1</v>
      </c>
      <c r="E16" s="11">
        <v>2</v>
      </c>
      <c r="F16" s="11">
        <v>0</v>
      </c>
      <c r="G16" s="11">
        <v>0</v>
      </c>
    </row>
    <row r="17" ht="20.05" customHeight="1">
      <c r="A17" s="12"/>
      <c r="B17" s="13"/>
      <c r="C17" t="s" s="10">
        <v>808</v>
      </c>
      <c r="D17" s="11">
        <v>0</v>
      </c>
      <c r="E17" s="11">
        <v>2</v>
      </c>
      <c r="F17" s="11">
        <v>0</v>
      </c>
      <c r="G17" s="11">
        <v>1</v>
      </c>
    </row>
    <row r="18" ht="20.05" customHeight="1">
      <c r="A18" s="12"/>
      <c r="B18" s="13"/>
      <c r="C18" t="s" s="10">
        <v>593</v>
      </c>
      <c r="D18" s="11">
        <v>1</v>
      </c>
      <c r="E18" s="11">
        <v>5</v>
      </c>
      <c r="F18" s="11">
        <v>0</v>
      </c>
      <c r="G18" s="11">
        <v>1</v>
      </c>
    </row>
    <row r="19" ht="20.05" customHeight="1">
      <c r="A19" s="12"/>
      <c r="B19" t="s" s="9">
        <v>29</v>
      </c>
      <c r="C19" t="s" s="10">
        <v>30</v>
      </c>
      <c r="D19" s="11">
        <v>1</v>
      </c>
      <c r="E19" s="11">
        <v>3</v>
      </c>
      <c r="F19" s="11">
        <v>0</v>
      </c>
      <c r="G19" s="11">
        <v>0</v>
      </c>
    </row>
    <row r="20" ht="20.05" customHeight="1">
      <c r="A20" s="12"/>
      <c r="B20" s="13"/>
      <c r="C20" t="s" s="10">
        <v>31</v>
      </c>
      <c r="D20" s="11">
        <v>1</v>
      </c>
      <c r="E20" s="11">
        <v>10</v>
      </c>
      <c r="F20" s="11">
        <v>0</v>
      </c>
      <c r="G20" s="11">
        <v>0</v>
      </c>
    </row>
    <row r="21" ht="20.05" customHeight="1">
      <c r="A21" s="12"/>
      <c r="B21" s="13"/>
      <c r="C21" t="s" s="10">
        <v>810</v>
      </c>
      <c r="D21" s="11">
        <v>2</v>
      </c>
      <c r="E21" s="11">
        <v>3</v>
      </c>
      <c r="F21" s="11">
        <v>1</v>
      </c>
      <c r="G21" s="11">
        <v>0</v>
      </c>
    </row>
    <row r="22" ht="20.05" customHeight="1">
      <c r="A22" s="12"/>
      <c r="B22" s="13"/>
      <c r="C22" t="s" s="10">
        <v>811</v>
      </c>
      <c r="D22" s="11">
        <v>0</v>
      </c>
      <c r="E22" s="11">
        <v>7</v>
      </c>
      <c r="F22" s="11">
        <v>0</v>
      </c>
      <c r="G22" s="11">
        <v>0</v>
      </c>
    </row>
    <row r="23" ht="20.05" customHeight="1">
      <c r="A23" s="12"/>
      <c r="B23" s="13"/>
      <c r="C23" t="s" s="10">
        <v>812</v>
      </c>
      <c r="D23" s="11">
        <v>0</v>
      </c>
      <c r="E23" s="11">
        <v>11</v>
      </c>
      <c r="F23" s="11">
        <v>1</v>
      </c>
      <c r="G23" s="11">
        <v>0</v>
      </c>
    </row>
    <row r="24" ht="20.05" customHeight="1">
      <c r="A24" s="12"/>
      <c r="B24" s="13"/>
      <c r="C24" t="s" s="10">
        <v>33</v>
      </c>
      <c r="D24" s="11">
        <v>1</v>
      </c>
      <c r="E24" s="11">
        <v>10</v>
      </c>
      <c r="F24" s="11">
        <v>1</v>
      </c>
      <c r="G24" s="11">
        <v>1</v>
      </c>
    </row>
    <row r="25" ht="20.05" customHeight="1">
      <c r="A25" s="12"/>
      <c r="B25" t="s" s="9">
        <v>34</v>
      </c>
      <c r="C25" t="s" s="10">
        <v>813</v>
      </c>
      <c r="D25" s="11">
        <v>0</v>
      </c>
      <c r="E25" s="11">
        <v>2</v>
      </c>
      <c r="F25" s="11">
        <v>0</v>
      </c>
      <c r="G25" s="11">
        <v>0</v>
      </c>
    </row>
    <row r="26" ht="20.05" customHeight="1">
      <c r="A26" s="12"/>
      <c r="B26" s="13"/>
      <c r="C26" t="s" s="10">
        <v>35</v>
      </c>
      <c r="D26" s="11">
        <v>0</v>
      </c>
      <c r="E26" s="11">
        <v>1</v>
      </c>
      <c r="F26" s="11">
        <v>0</v>
      </c>
      <c r="G26" s="11">
        <v>0</v>
      </c>
    </row>
    <row r="27" ht="20.05" customHeight="1">
      <c r="A27" s="12"/>
      <c r="B27" s="13"/>
      <c r="C27" t="s" s="10">
        <v>36</v>
      </c>
      <c r="D27" s="11">
        <v>0</v>
      </c>
      <c r="E27" s="11">
        <v>8</v>
      </c>
      <c r="F27" s="11">
        <v>0</v>
      </c>
      <c r="G27" s="11">
        <v>0</v>
      </c>
    </row>
    <row r="28" ht="20.05" customHeight="1">
      <c r="A28" s="12"/>
      <c r="B28" s="13"/>
      <c r="C28" t="s" s="10">
        <v>37</v>
      </c>
      <c r="D28" s="11">
        <v>0</v>
      </c>
      <c r="E28" s="11">
        <v>2</v>
      </c>
      <c r="F28" s="11">
        <v>0</v>
      </c>
      <c r="G28" s="11">
        <v>0</v>
      </c>
    </row>
    <row r="29" ht="20.05" customHeight="1">
      <c r="A29" s="12"/>
      <c r="B29" s="13"/>
      <c r="C29" t="s" s="10">
        <v>814</v>
      </c>
      <c r="D29" s="11">
        <v>0</v>
      </c>
      <c r="E29" s="11">
        <v>1</v>
      </c>
      <c r="F29" s="11">
        <v>0</v>
      </c>
      <c r="G29" s="11">
        <v>0</v>
      </c>
    </row>
    <row r="30" ht="20.05" customHeight="1">
      <c r="A30" s="12"/>
      <c r="B30" s="13"/>
      <c r="C30" t="s" s="10">
        <v>38</v>
      </c>
      <c r="D30" s="11">
        <v>2</v>
      </c>
      <c r="E30" s="11">
        <v>10</v>
      </c>
      <c r="F30" s="11">
        <v>1</v>
      </c>
      <c r="G30" s="11">
        <v>0</v>
      </c>
    </row>
    <row r="31" ht="20.05" customHeight="1">
      <c r="A31" s="12"/>
      <c r="B31" s="13"/>
      <c r="C31" t="s" s="10">
        <v>39</v>
      </c>
      <c r="D31" s="11">
        <v>1</v>
      </c>
      <c r="E31" s="11">
        <v>14</v>
      </c>
      <c r="F31" s="11">
        <v>0</v>
      </c>
      <c r="G31" s="11">
        <v>1</v>
      </c>
    </row>
    <row r="32" ht="20.05" customHeight="1">
      <c r="A32" s="12"/>
      <c r="B32" t="s" s="9">
        <v>40</v>
      </c>
      <c r="C32" t="s" s="10">
        <v>41</v>
      </c>
      <c r="D32" s="11">
        <v>0</v>
      </c>
      <c r="E32" s="11">
        <v>4</v>
      </c>
      <c r="F32" s="11">
        <v>0</v>
      </c>
      <c r="G32" s="11">
        <v>1</v>
      </c>
    </row>
    <row r="33" ht="20.05" customHeight="1">
      <c r="A33" s="12"/>
      <c r="B33" s="13"/>
      <c r="C33" t="s" s="10">
        <v>42</v>
      </c>
      <c r="D33" s="11">
        <v>0</v>
      </c>
      <c r="E33" s="11">
        <v>2</v>
      </c>
      <c r="F33" s="11">
        <v>0</v>
      </c>
      <c r="G33" s="11">
        <v>0</v>
      </c>
    </row>
    <row r="34" ht="20.05" customHeight="1">
      <c r="A34" s="12"/>
      <c r="B34" s="13"/>
      <c r="C34" t="s" s="10">
        <v>43</v>
      </c>
      <c r="D34" s="11">
        <v>0</v>
      </c>
      <c r="E34" s="11">
        <v>1</v>
      </c>
      <c r="F34" s="11">
        <v>0</v>
      </c>
      <c r="G34" s="11">
        <v>1</v>
      </c>
    </row>
    <row r="35" ht="20.05" customHeight="1">
      <c r="A35" s="12"/>
      <c r="B35" s="13"/>
      <c r="C35" t="s" s="10">
        <v>44</v>
      </c>
      <c r="D35" s="11">
        <v>1</v>
      </c>
      <c r="E35" s="11">
        <v>5</v>
      </c>
      <c r="F35" s="11">
        <v>1</v>
      </c>
      <c r="G35" s="11">
        <v>1</v>
      </c>
    </row>
    <row r="36" ht="20.05" customHeight="1">
      <c r="A36" s="12"/>
      <c r="B36" s="13"/>
      <c r="C36" t="s" s="10">
        <v>45</v>
      </c>
      <c r="D36" s="11">
        <v>0</v>
      </c>
      <c r="E36" s="11">
        <v>2</v>
      </c>
      <c r="F36" s="11">
        <v>0</v>
      </c>
      <c r="G36" s="11">
        <v>0</v>
      </c>
    </row>
    <row r="37" ht="20.05" customHeight="1">
      <c r="A37" s="12"/>
      <c r="B37" s="13"/>
      <c r="C37" t="s" s="10">
        <v>46</v>
      </c>
      <c r="D37" s="11">
        <v>0</v>
      </c>
      <c r="E37" s="11">
        <v>2</v>
      </c>
      <c r="F37" s="11">
        <v>0</v>
      </c>
      <c r="G37" s="11">
        <v>1</v>
      </c>
    </row>
    <row r="38" ht="20.05" customHeight="1">
      <c r="A38" s="12"/>
      <c r="B38" t="s" s="9">
        <v>47</v>
      </c>
      <c r="C38" t="s" s="10">
        <v>48</v>
      </c>
      <c r="D38" s="11">
        <v>1</v>
      </c>
      <c r="E38" s="11">
        <v>1</v>
      </c>
      <c r="F38" s="11">
        <v>0</v>
      </c>
      <c r="G38" s="11">
        <v>1</v>
      </c>
    </row>
    <row r="39" ht="20.05" customHeight="1">
      <c r="A39" s="12"/>
      <c r="B39" s="13"/>
      <c r="C39" t="s" s="10">
        <v>1007</v>
      </c>
      <c r="D39" s="11">
        <v>0</v>
      </c>
      <c r="E39" s="11">
        <v>5</v>
      </c>
      <c r="F39" s="11">
        <v>0</v>
      </c>
      <c r="G39" s="11">
        <v>0</v>
      </c>
    </row>
    <row r="40" ht="20.05" customHeight="1">
      <c r="A40" s="12"/>
      <c r="B40" s="13"/>
      <c r="C40" t="s" s="10">
        <v>49</v>
      </c>
      <c r="D40" s="11">
        <v>0</v>
      </c>
      <c r="E40" s="11">
        <v>5</v>
      </c>
      <c r="F40" s="11">
        <v>0</v>
      </c>
      <c r="G40" s="11">
        <v>0</v>
      </c>
    </row>
    <row r="41" ht="20.05" customHeight="1">
      <c r="A41" t="s" s="15">
        <v>50</v>
      </c>
      <c r="B41" t="s" s="16">
        <v>815</v>
      </c>
      <c r="C41" t="s" s="17">
        <v>596</v>
      </c>
      <c r="D41" s="18">
        <v>2</v>
      </c>
      <c r="E41" s="18">
        <v>8</v>
      </c>
      <c r="F41" s="18">
        <v>0</v>
      </c>
      <c r="G41" s="18">
        <v>1</v>
      </c>
    </row>
    <row r="42" ht="20.05" customHeight="1">
      <c r="A42" s="12"/>
      <c r="B42" s="13"/>
      <c r="C42" t="s" s="17">
        <v>61</v>
      </c>
      <c r="D42" s="18">
        <v>1</v>
      </c>
      <c r="E42" s="18">
        <v>6</v>
      </c>
      <c r="F42" s="18">
        <v>1</v>
      </c>
      <c r="G42" s="18">
        <v>1</v>
      </c>
    </row>
    <row r="43" ht="20.05" customHeight="1">
      <c r="A43" s="12"/>
      <c r="B43" s="13"/>
      <c r="C43" t="s" s="17">
        <v>62</v>
      </c>
      <c r="D43" s="18">
        <v>0</v>
      </c>
      <c r="E43" s="18">
        <v>4</v>
      </c>
      <c r="F43" s="18">
        <v>0</v>
      </c>
      <c r="G43" s="18">
        <v>1</v>
      </c>
    </row>
    <row r="44" ht="20.05" customHeight="1">
      <c r="A44" s="12"/>
      <c r="B44" s="13"/>
      <c r="C44" t="s" s="17">
        <v>63</v>
      </c>
      <c r="D44" s="18">
        <v>0</v>
      </c>
      <c r="E44" s="18">
        <v>4</v>
      </c>
      <c r="F44" s="18">
        <v>0</v>
      </c>
      <c r="G44" s="18">
        <v>0</v>
      </c>
    </row>
    <row r="45" ht="20.05" customHeight="1">
      <c r="A45" s="12"/>
      <c r="B45" s="13"/>
      <c r="C45" t="s" s="17">
        <v>64</v>
      </c>
      <c r="D45" s="18">
        <v>2</v>
      </c>
      <c r="E45" s="18">
        <v>5</v>
      </c>
      <c r="F45" s="18">
        <v>0</v>
      </c>
      <c r="G45" s="18">
        <v>0</v>
      </c>
    </row>
    <row r="46" ht="20.05" customHeight="1">
      <c r="A46" s="12"/>
      <c r="B46" t="s" s="16">
        <v>51</v>
      </c>
      <c r="C46" t="s" s="17">
        <v>52</v>
      </c>
      <c r="D46" s="18">
        <v>0</v>
      </c>
      <c r="E46" s="18">
        <v>6</v>
      </c>
      <c r="F46" s="18">
        <v>0</v>
      </c>
      <c r="G46" s="18">
        <v>1</v>
      </c>
    </row>
    <row r="47" ht="20.05" customHeight="1">
      <c r="A47" s="12"/>
      <c r="B47" s="13"/>
      <c r="C47" t="s" s="17">
        <v>53</v>
      </c>
      <c r="D47" s="18">
        <v>0</v>
      </c>
      <c r="E47" s="18">
        <v>4</v>
      </c>
      <c r="F47" s="18">
        <v>0</v>
      </c>
      <c r="G47" s="18">
        <v>0</v>
      </c>
    </row>
    <row r="48" ht="20.05" customHeight="1">
      <c r="A48" s="12"/>
      <c r="B48" t="s" s="16">
        <v>65</v>
      </c>
      <c r="C48" t="s" s="17">
        <v>60</v>
      </c>
      <c r="D48" s="18">
        <v>0</v>
      </c>
      <c r="E48" s="18">
        <v>1</v>
      </c>
      <c r="F48" s="18">
        <v>1</v>
      </c>
      <c r="G48" s="18">
        <v>0</v>
      </c>
    </row>
    <row r="49" ht="20.05" customHeight="1">
      <c r="A49" s="12"/>
      <c r="B49" s="13"/>
      <c r="C49" t="s" s="17">
        <v>65</v>
      </c>
      <c r="D49" s="18">
        <v>0</v>
      </c>
      <c r="E49" s="18">
        <v>4</v>
      </c>
      <c r="F49" s="18">
        <v>0</v>
      </c>
      <c r="G49" s="18">
        <v>0</v>
      </c>
    </row>
    <row r="50" ht="23.95" customHeight="1">
      <c r="A50" s="12"/>
      <c r="B50" t="s" s="16">
        <v>1008</v>
      </c>
      <c r="C50" t="s" s="17">
        <v>69</v>
      </c>
      <c r="D50" s="18">
        <v>1</v>
      </c>
      <c r="E50" s="18">
        <v>8</v>
      </c>
      <c r="F50" s="18">
        <v>0</v>
      </c>
      <c r="G50" s="18">
        <v>0</v>
      </c>
    </row>
    <row r="51" ht="20.05" customHeight="1">
      <c r="A51" t="s" s="19">
        <v>1009</v>
      </c>
      <c r="B51" t="s" s="171">
        <v>1010</v>
      </c>
      <c r="C51" t="s" s="21">
        <v>166</v>
      </c>
      <c r="D51" s="22">
        <v>0</v>
      </c>
      <c r="E51" s="22">
        <v>5</v>
      </c>
      <c r="F51" s="22">
        <v>0</v>
      </c>
      <c r="G51" s="22">
        <v>0</v>
      </c>
    </row>
    <row r="52" ht="20.05" customHeight="1">
      <c r="A52" s="12"/>
      <c r="B52" s="13"/>
      <c r="C52" t="s" s="21">
        <v>1011</v>
      </c>
      <c r="D52" s="22">
        <v>0</v>
      </c>
      <c r="E52" s="22">
        <v>7</v>
      </c>
      <c r="F52" s="22">
        <v>0</v>
      </c>
      <c r="G52" s="22">
        <v>1</v>
      </c>
    </row>
    <row r="53" ht="20.05" customHeight="1">
      <c r="A53" s="12"/>
      <c r="B53" s="13"/>
      <c r="C53" t="s" s="21">
        <v>1012</v>
      </c>
      <c r="D53" s="22">
        <v>0</v>
      </c>
      <c r="E53" s="22">
        <v>6</v>
      </c>
      <c r="F53" s="22">
        <v>0</v>
      </c>
      <c r="G53" s="22">
        <v>0</v>
      </c>
    </row>
    <row r="54" ht="20.05" customHeight="1">
      <c r="A54" s="12"/>
      <c r="B54" s="13"/>
      <c r="C54" t="s" s="21">
        <v>1013</v>
      </c>
      <c r="D54" s="22">
        <v>1</v>
      </c>
      <c r="E54" s="22">
        <v>10</v>
      </c>
      <c r="F54" s="22">
        <v>0</v>
      </c>
      <c r="G54" s="22">
        <v>0</v>
      </c>
    </row>
    <row r="55" ht="20.05" customHeight="1">
      <c r="A55" s="12"/>
      <c r="B55" s="13"/>
      <c r="C55" t="s" s="21">
        <v>176</v>
      </c>
      <c r="D55" s="22">
        <v>0</v>
      </c>
      <c r="E55" s="22">
        <v>1</v>
      </c>
      <c r="F55" s="22">
        <v>0</v>
      </c>
      <c r="G55" s="22">
        <v>0</v>
      </c>
    </row>
    <row r="56" ht="20.05" customHeight="1">
      <c r="A56" s="12"/>
      <c r="B56" t="s" s="171">
        <v>1014</v>
      </c>
      <c r="C56" t="s" s="172">
        <v>170</v>
      </c>
      <c r="D56" s="173">
        <v>0</v>
      </c>
      <c r="E56" s="173">
        <v>4</v>
      </c>
      <c r="F56" s="173">
        <v>0</v>
      </c>
      <c r="G56" s="173">
        <v>1</v>
      </c>
    </row>
    <row r="57" ht="20.05" customHeight="1">
      <c r="A57" s="12"/>
      <c r="B57" s="13"/>
      <c r="C57" t="s" s="172">
        <v>171</v>
      </c>
      <c r="D57" s="173">
        <v>0</v>
      </c>
      <c r="E57" s="173">
        <v>4</v>
      </c>
      <c r="F57" s="173">
        <v>0</v>
      </c>
      <c r="G57" s="173">
        <v>0</v>
      </c>
    </row>
    <row r="58" ht="20.05" customHeight="1">
      <c r="A58" s="12"/>
      <c r="B58" s="13"/>
      <c r="C58" t="s" s="172">
        <v>172</v>
      </c>
      <c r="D58" s="173">
        <v>0</v>
      </c>
      <c r="E58" s="173">
        <v>2</v>
      </c>
      <c r="F58" s="173">
        <v>0</v>
      </c>
      <c r="G58" s="173">
        <v>0</v>
      </c>
    </row>
    <row r="59" ht="20.05" customHeight="1">
      <c r="A59" s="12"/>
      <c r="B59" s="13"/>
      <c r="C59" t="s" s="172">
        <v>173</v>
      </c>
      <c r="D59" s="173">
        <v>0</v>
      </c>
      <c r="E59" s="173">
        <v>1</v>
      </c>
      <c r="F59" s="173">
        <v>0</v>
      </c>
      <c r="G59" s="173">
        <v>0</v>
      </c>
    </row>
    <row r="60" ht="20.05" customHeight="1">
      <c r="A60" s="12"/>
      <c r="B60" s="13"/>
      <c r="C60" t="s" s="172">
        <v>174</v>
      </c>
      <c r="D60" s="173">
        <v>0</v>
      </c>
      <c r="E60" s="173">
        <v>3</v>
      </c>
      <c r="F60" s="173">
        <v>0</v>
      </c>
      <c r="G60" s="173">
        <v>0</v>
      </c>
    </row>
    <row r="61" ht="20.05" customHeight="1">
      <c r="A61" s="12"/>
      <c r="B61" t="s" s="171">
        <v>1015</v>
      </c>
      <c r="C61" t="s" s="172">
        <v>106</v>
      </c>
      <c r="D61" s="173">
        <v>0</v>
      </c>
      <c r="E61" s="173">
        <v>7</v>
      </c>
      <c r="F61" s="173">
        <v>0</v>
      </c>
      <c r="G61" s="173">
        <v>1</v>
      </c>
    </row>
    <row r="62" ht="20.05" customHeight="1">
      <c r="A62" s="12"/>
      <c r="B62" s="13"/>
      <c r="C62" t="s" s="172">
        <v>109</v>
      </c>
      <c r="D62" s="173">
        <v>0</v>
      </c>
      <c r="E62" s="173">
        <v>2</v>
      </c>
      <c r="F62" s="173">
        <v>0</v>
      </c>
      <c r="G62" s="173">
        <v>1</v>
      </c>
    </row>
    <row r="63" ht="20.05" customHeight="1">
      <c r="A63" s="12"/>
      <c r="B63" s="13"/>
      <c r="C63" t="s" s="172">
        <v>111</v>
      </c>
      <c r="D63" s="173">
        <v>0</v>
      </c>
      <c r="E63" s="173">
        <v>7</v>
      </c>
      <c r="F63" s="173">
        <v>0</v>
      </c>
      <c r="G63" s="173">
        <v>0</v>
      </c>
    </row>
    <row r="64" ht="20.05" customHeight="1">
      <c r="A64" s="12"/>
      <c r="B64" s="13"/>
      <c r="C64" t="s" s="172">
        <v>112</v>
      </c>
      <c r="D64" s="173">
        <v>0</v>
      </c>
      <c r="E64" s="173">
        <v>4</v>
      </c>
      <c r="F64" s="173">
        <v>0</v>
      </c>
      <c r="G64" s="173">
        <v>0</v>
      </c>
    </row>
    <row r="65" ht="20.05" customHeight="1">
      <c r="A65" s="12"/>
      <c r="B65" s="13"/>
      <c r="C65" t="s" s="172">
        <v>843</v>
      </c>
      <c r="D65" s="173">
        <v>0</v>
      </c>
      <c r="E65" s="173">
        <v>12</v>
      </c>
      <c r="F65" s="173">
        <v>0</v>
      </c>
      <c r="G65" s="173">
        <v>0</v>
      </c>
    </row>
    <row r="66" ht="20.05" customHeight="1">
      <c r="A66" s="12"/>
      <c r="B66" s="13"/>
      <c r="C66" t="s" s="172">
        <v>1016</v>
      </c>
      <c r="D66" s="173">
        <v>0</v>
      </c>
      <c r="E66" s="173">
        <v>2</v>
      </c>
      <c r="F66" s="173">
        <v>0</v>
      </c>
      <c r="G66" s="173">
        <v>0</v>
      </c>
    </row>
    <row r="67" ht="20.05" customHeight="1">
      <c r="A67" s="12"/>
      <c r="B67" s="13"/>
      <c r="C67" t="s" s="172">
        <v>846</v>
      </c>
      <c r="D67" s="173">
        <v>0</v>
      </c>
      <c r="E67" s="173">
        <v>7</v>
      </c>
      <c r="F67" s="173">
        <v>1</v>
      </c>
      <c r="G67" s="173">
        <v>0</v>
      </c>
    </row>
    <row r="68" ht="20.05" customHeight="1">
      <c r="A68" t="s" s="36">
        <v>1017</v>
      </c>
      <c r="B68" t="s" s="37">
        <v>229</v>
      </c>
      <c r="C68" t="s" s="38">
        <v>1018</v>
      </c>
      <c r="D68" s="39">
        <v>0</v>
      </c>
      <c r="E68" s="39">
        <v>4</v>
      </c>
      <c r="F68" s="39">
        <v>0</v>
      </c>
      <c r="G68" s="39">
        <v>0</v>
      </c>
    </row>
    <row r="69" ht="20.05" customHeight="1">
      <c r="A69" s="12"/>
      <c r="B69" s="13"/>
      <c r="C69" t="s" s="38">
        <v>791</v>
      </c>
      <c r="D69" s="39">
        <v>0</v>
      </c>
      <c r="E69" s="39">
        <v>17</v>
      </c>
      <c r="F69" s="39">
        <v>0</v>
      </c>
      <c r="G69" s="39">
        <v>0</v>
      </c>
    </row>
    <row r="70" ht="20.05" customHeight="1">
      <c r="A70" s="12"/>
      <c r="B70" s="13"/>
      <c r="C70" t="s" s="38">
        <v>832</v>
      </c>
      <c r="D70" s="39">
        <v>0</v>
      </c>
      <c r="E70" s="39">
        <v>2</v>
      </c>
      <c r="F70" s="39">
        <v>0</v>
      </c>
      <c r="G70" s="39">
        <v>0</v>
      </c>
    </row>
    <row r="71" ht="20.05" customHeight="1">
      <c r="A71" s="12"/>
      <c r="B71" s="13"/>
      <c r="C71" t="s" s="38">
        <v>838</v>
      </c>
      <c r="D71" s="39">
        <v>0</v>
      </c>
      <c r="E71" s="39">
        <v>3</v>
      </c>
      <c r="F71" s="39">
        <v>0</v>
      </c>
      <c r="G71" s="39">
        <v>0</v>
      </c>
    </row>
    <row r="72" ht="20.05" customHeight="1">
      <c r="A72" s="12"/>
      <c r="B72" t="s" s="174">
        <v>1019</v>
      </c>
      <c r="C72" t="s" s="38">
        <v>1020</v>
      </c>
      <c r="D72" s="39">
        <v>0</v>
      </c>
      <c r="E72" s="39">
        <v>6</v>
      </c>
      <c r="F72" s="39">
        <v>0</v>
      </c>
      <c r="G72" s="39">
        <v>0</v>
      </c>
    </row>
    <row r="73" ht="20.05" customHeight="1">
      <c r="A73" s="12"/>
      <c r="B73" s="13"/>
      <c r="C73" t="s" s="38">
        <v>1021</v>
      </c>
      <c r="D73" s="39">
        <v>0</v>
      </c>
      <c r="E73" s="39">
        <v>14</v>
      </c>
      <c r="F73" s="39">
        <v>0</v>
      </c>
      <c r="G73" s="39">
        <v>0</v>
      </c>
    </row>
    <row r="74" ht="20.05" customHeight="1">
      <c r="A74" s="12"/>
      <c r="B74" s="13"/>
      <c r="C74" t="s" s="38">
        <v>238</v>
      </c>
      <c r="D74" s="39">
        <v>0</v>
      </c>
      <c r="E74" s="39">
        <v>17</v>
      </c>
      <c r="F74" s="39">
        <v>0</v>
      </c>
      <c r="G74" s="39">
        <v>0</v>
      </c>
    </row>
    <row r="75" ht="20.05" customHeight="1">
      <c r="A75" s="12"/>
      <c r="B75" t="s" s="174">
        <v>257</v>
      </c>
      <c r="C75" t="s" s="38">
        <v>258</v>
      </c>
      <c r="D75" s="39">
        <v>0</v>
      </c>
      <c r="E75" s="39">
        <v>2</v>
      </c>
      <c r="F75" s="39">
        <v>0</v>
      </c>
      <c r="G75" s="39">
        <v>0</v>
      </c>
    </row>
    <row r="76" ht="20.05" customHeight="1">
      <c r="A76" s="12"/>
      <c r="B76" s="13"/>
      <c r="C76" t="s" s="38">
        <v>259</v>
      </c>
      <c r="D76" s="39">
        <v>0</v>
      </c>
      <c r="E76" s="39">
        <v>3</v>
      </c>
      <c r="F76" s="39">
        <v>0</v>
      </c>
      <c r="G76" s="39">
        <v>0</v>
      </c>
    </row>
    <row r="77" ht="20.05" customHeight="1">
      <c r="A77" s="12"/>
      <c r="B77" s="13"/>
      <c r="C77" t="s" s="38">
        <v>1022</v>
      </c>
      <c r="D77" s="39">
        <v>0</v>
      </c>
      <c r="E77" s="39">
        <v>3</v>
      </c>
      <c r="F77" s="39">
        <v>0</v>
      </c>
      <c r="G77" s="39">
        <v>0</v>
      </c>
    </row>
    <row r="78" ht="20.05" customHeight="1">
      <c r="A78" s="12"/>
      <c r="B78" s="13"/>
      <c r="C78" t="s" s="38">
        <v>1023</v>
      </c>
      <c r="D78" s="39">
        <v>0</v>
      </c>
      <c r="E78" s="39">
        <v>1</v>
      </c>
      <c r="F78" s="39">
        <v>0</v>
      </c>
      <c r="G78" s="39">
        <v>0</v>
      </c>
    </row>
    <row r="79" ht="20.05" customHeight="1">
      <c r="A79" s="12"/>
      <c r="B79" s="13"/>
      <c r="C79" t="s" s="38">
        <v>261</v>
      </c>
      <c r="D79" s="39">
        <v>0</v>
      </c>
      <c r="E79" s="39">
        <v>4</v>
      </c>
      <c r="F79" s="39">
        <v>0</v>
      </c>
      <c r="G79" s="39">
        <v>0</v>
      </c>
    </row>
    <row r="80" ht="20.05" customHeight="1">
      <c r="A80" t="s" s="175">
        <v>1024</v>
      </c>
      <c r="B80" t="s" s="176">
        <v>1025</v>
      </c>
      <c r="C80" t="s" s="177">
        <v>1026</v>
      </c>
      <c r="D80" s="178">
        <v>0</v>
      </c>
      <c r="E80" s="178">
        <v>1</v>
      </c>
      <c r="F80" s="178">
        <v>0</v>
      </c>
      <c r="G80" s="178">
        <v>0</v>
      </c>
    </row>
    <row r="81" ht="20.05" customHeight="1">
      <c r="A81" s="12"/>
      <c r="B81" s="13"/>
      <c r="C81" t="s" s="177">
        <v>1027</v>
      </c>
      <c r="D81" s="178">
        <v>0</v>
      </c>
      <c r="E81" s="178">
        <v>1</v>
      </c>
      <c r="F81" s="178">
        <v>0</v>
      </c>
      <c r="G81" s="178">
        <v>0</v>
      </c>
    </row>
    <row r="82" ht="20.05" customHeight="1">
      <c r="A82" s="12"/>
      <c r="B82" s="13"/>
      <c r="C82" t="s" s="177">
        <v>1028</v>
      </c>
      <c r="D82" s="178">
        <v>0</v>
      </c>
      <c r="E82" s="178">
        <v>3</v>
      </c>
      <c r="F82" s="178">
        <v>0</v>
      </c>
      <c r="G82" s="178">
        <v>0</v>
      </c>
    </row>
    <row r="83" ht="20.05" customHeight="1">
      <c r="A83" s="12"/>
      <c r="B83" s="13"/>
      <c r="C83" t="s" s="177">
        <v>476</v>
      </c>
      <c r="D83" s="178">
        <v>0</v>
      </c>
      <c r="E83" s="178">
        <v>5</v>
      </c>
      <c r="F83" s="178">
        <v>0</v>
      </c>
      <c r="G83" s="178">
        <v>0</v>
      </c>
    </row>
    <row r="84" ht="20.05" customHeight="1">
      <c r="A84" s="12"/>
      <c r="B84" s="13"/>
      <c r="C84" t="s" s="177">
        <v>1029</v>
      </c>
      <c r="D84" s="178">
        <v>0</v>
      </c>
      <c r="E84" s="178">
        <v>2</v>
      </c>
      <c r="F84" s="178">
        <v>0</v>
      </c>
      <c r="G84" s="178">
        <v>0</v>
      </c>
    </row>
    <row r="85" ht="20.05" customHeight="1">
      <c r="A85" s="12"/>
      <c r="B85" s="13"/>
      <c r="C85" t="s" s="177">
        <v>1030</v>
      </c>
      <c r="D85" s="178">
        <v>0</v>
      </c>
      <c r="E85" s="178">
        <v>2</v>
      </c>
      <c r="F85" s="178">
        <v>0</v>
      </c>
      <c r="G85" s="178">
        <v>0</v>
      </c>
    </row>
    <row r="86" ht="20.05" customHeight="1">
      <c r="A86" s="12"/>
      <c r="B86" s="13"/>
      <c r="C86" t="s" s="177">
        <v>1031</v>
      </c>
      <c r="D86" s="178">
        <v>0</v>
      </c>
      <c r="E86" s="178">
        <v>2</v>
      </c>
      <c r="F86" s="178">
        <v>0</v>
      </c>
      <c r="G86" s="178">
        <v>0</v>
      </c>
    </row>
    <row r="87" ht="20.05" customHeight="1">
      <c r="A87" s="12"/>
      <c r="B87" s="13"/>
      <c r="C87" t="s" s="177">
        <v>477</v>
      </c>
      <c r="D87" s="178">
        <v>0</v>
      </c>
      <c r="E87" s="178">
        <v>9</v>
      </c>
      <c r="F87" s="178">
        <v>0</v>
      </c>
      <c r="G87" s="178">
        <v>0</v>
      </c>
    </row>
    <row r="88" ht="20.05" customHeight="1">
      <c r="A88" s="12"/>
      <c r="B88" s="13"/>
      <c r="C88" t="s" s="177">
        <v>1032</v>
      </c>
      <c r="D88" s="178">
        <v>0</v>
      </c>
      <c r="E88" s="178">
        <v>1</v>
      </c>
      <c r="F88" s="178">
        <v>0</v>
      </c>
      <c r="G88" s="178">
        <v>0</v>
      </c>
    </row>
    <row r="89" ht="20.05" customHeight="1">
      <c r="A89" s="12"/>
      <c r="B89" s="13"/>
      <c r="C89" t="s" s="177">
        <v>1033</v>
      </c>
      <c r="D89" s="178">
        <v>0</v>
      </c>
      <c r="E89" s="178">
        <v>2</v>
      </c>
      <c r="F89" s="178">
        <v>0</v>
      </c>
      <c r="G89" s="178">
        <v>0</v>
      </c>
    </row>
    <row r="90" ht="20.05" customHeight="1">
      <c r="A90" s="12"/>
      <c r="B90" s="13"/>
      <c r="C90" t="s" s="177">
        <v>1034</v>
      </c>
      <c r="D90" s="178">
        <v>0</v>
      </c>
      <c r="E90" s="178">
        <v>5</v>
      </c>
      <c r="F90" s="178">
        <v>0</v>
      </c>
      <c r="G90" s="178">
        <v>0</v>
      </c>
    </row>
    <row r="91" ht="20.05" customHeight="1">
      <c r="A91" s="12"/>
      <c r="B91" t="s" s="176">
        <v>1035</v>
      </c>
      <c r="C91" t="s" s="177">
        <v>1036</v>
      </c>
      <c r="D91" s="178">
        <v>0</v>
      </c>
      <c r="E91" s="178">
        <v>5</v>
      </c>
      <c r="F91" s="178">
        <v>0</v>
      </c>
      <c r="G91" s="178">
        <v>0</v>
      </c>
    </row>
    <row r="92" ht="20.05" customHeight="1">
      <c r="A92" s="12"/>
      <c r="B92" s="13"/>
      <c r="C92" t="s" s="177">
        <v>1037</v>
      </c>
      <c r="D92" s="178">
        <v>0</v>
      </c>
      <c r="E92" s="178">
        <v>1</v>
      </c>
      <c r="F92" s="178">
        <v>0</v>
      </c>
      <c r="G92" s="178">
        <v>0</v>
      </c>
    </row>
    <row r="93" ht="20.05" customHeight="1">
      <c r="A93" s="12"/>
      <c r="B93" s="13"/>
      <c r="C93" t="s" s="177">
        <v>1038</v>
      </c>
      <c r="D93" s="178">
        <v>0</v>
      </c>
      <c r="E93" s="178">
        <v>1</v>
      </c>
      <c r="F93" s="178">
        <v>0</v>
      </c>
      <c r="G93" s="178">
        <v>0</v>
      </c>
    </row>
    <row r="94" ht="20.05" customHeight="1">
      <c r="A94" s="12"/>
      <c r="B94" s="13"/>
      <c r="C94" t="s" s="177">
        <v>1039</v>
      </c>
      <c r="D94" s="178">
        <v>0</v>
      </c>
      <c r="E94" s="179">
        <v>0</v>
      </c>
      <c r="F94" s="178">
        <v>0</v>
      </c>
      <c r="G94" s="178">
        <v>0</v>
      </c>
    </row>
    <row r="95" ht="20.05" customHeight="1">
      <c r="A95" s="12"/>
      <c r="B95" s="13"/>
      <c r="C95" t="s" s="177">
        <v>1040</v>
      </c>
      <c r="D95" s="178">
        <v>0</v>
      </c>
      <c r="E95" s="179">
        <v>0</v>
      </c>
      <c r="F95" s="178">
        <v>0</v>
      </c>
      <c r="G95" s="178">
        <v>0</v>
      </c>
    </row>
    <row r="96" ht="20.05" customHeight="1">
      <c r="A96" s="12"/>
      <c r="B96" t="s" s="176">
        <v>1041</v>
      </c>
      <c r="C96" t="s" s="177">
        <v>1042</v>
      </c>
      <c r="D96" s="178">
        <v>0</v>
      </c>
      <c r="E96" s="178">
        <v>3</v>
      </c>
      <c r="F96" s="178">
        <v>0</v>
      </c>
      <c r="G96" s="178">
        <v>0</v>
      </c>
    </row>
    <row r="97" ht="20.05" customHeight="1">
      <c r="A97" s="12"/>
      <c r="B97" s="13"/>
      <c r="C97" t="s" s="177">
        <v>1043</v>
      </c>
      <c r="D97" s="178">
        <v>0</v>
      </c>
      <c r="E97" s="178">
        <v>1</v>
      </c>
      <c r="F97" s="178">
        <v>0</v>
      </c>
      <c r="G97" s="178">
        <v>0</v>
      </c>
    </row>
    <row r="98" ht="20.05" customHeight="1">
      <c r="A98" s="12"/>
      <c r="B98" t="s" s="176">
        <v>1044</v>
      </c>
      <c r="C98" t="s" s="177">
        <v>1045</v>
      </c>
      <c r="D98" s="178">
        <v>0</v>
      </c>
      <c r="E98" s="178">
        <v>2</v>
      </c>
      <c r="F98" s="178">
        <v>0</v>
      </c>
      <c r="G98" s="178">
        <v>0</v>
      </c>
    </row>
    <row r="99" ht="20.05" customHeight="1">
      <c r="A99" s="12"/>
      <c r="B99" s="13"/>
      <c r="C99" t="s" s="177">
        <v>1046</v>
      </c>
      <c r="D99" s="178">
        <v>0</v>
      </c>
      <c r="E99" s="178">
        <v>5</v>
      </c>
      <c r="F99" s="178">
        <v>0</v>
      </c>
      <c r="G99" s="178">
        <v>0</v>
      </c>
    </row>
    <row r="100" ht="20.05" customHeight="1">
      <c r="A100" s="12"/>
      <c r="B100" s="13"/>
      <c r="C100" t="s" s="177">
        <v>1047</v>
      </c>
      <c r="D100" s="178">
        <v>0</v>
      </c>
      <c r="E100" s="178">
        <v>12</v>
      </c>
      <c r="F100" s="178">
        <v>0</v>
      </c>
      <c r="G100" s="178">
        <v>0</v>
      </c>
    </row>
    <row r="101" ht="20.05" customHeight="1">
      <c r="A101" s="12"/>
      <c r="B101" s="13"/>
      <c r="C101" t="s" s="177">
        <v>1048</v>
      </c>
      <c r="D101" s="178">
        <v>0</v>
      </c>
      <c r="E101" s="178">
        <v>6</v>
      </c>
      <c r="F101" s="178">
        <v>0</v>
      </c>
      <c r="G101" s="178">
        <v>0</v>
      </c>
    </row>
    <row r="102" ht="20.05" customHeight="1">
      <c r="A102" s="12"/>
      <c r="B102" s="13"/>
      <c r="C102" t="s" s="177">
        <v>1049</v>
      </c>
      <c r="D102" s="178">
        <v>0</v>
      </c>
      <c r="E102" s="178">
        <v>7</v>
      </c>
      <c r="F102" s="178">
        <v>0</v>
      </c>
      <c r="G102" s="178">
        <v>0</v>
      </c>
    </row>
    <row r="103" ht="20.05" customHeight="1">
      <c r="A103" s="12"/>
      <c r="B103" s="13"/>
      <c r="C103" t="s" s="177">
        <v>1050</v>
      </c>
      <c r="D103" s="178">
        <v>0</v>
      </c>
      <c r="E103" s="179">
        <v>0</v>
      </c>
      <c r="F103" s="178">
        <v>0</v>
      </c>
      <c r="G103" s="178">
        <v>0</v>
      </c>
    </row>
    <row r="104" ht="20.05" customHeight="1">
      <c r="A104" s="12"/>
      <c r="B104" s="13"/>
      <c r="C104" t="s" s="177">
        <v>1051</v>
      </c>
      <c r="D104" s="178">
        <v>0</v>
      </c>
      <c r="E104" s="179">
        <v>0</v>
      </c>
      <c r="F104" s="178">
        <v>0</v>
      </c>
      <c r="G104" s="178">
        <v>0</v>
      </c>
    </row>
    <row r="105" ht="20.05" customHeight="1">
      <c r="A105" s="12"/>
      <c r="B105" t="s" s="176">
        <v>1052</v>
      </c>
      <c r="C105" t="s" s="177">
        <v>1053</v>
      </c>
      <c r="D105" s="178">
        <v>0</v>
      </c>
      <c r="E105" s="178">
        <v>2</v>
      </c>
      <c r="F105" s="178">
        <v>0</v>
      </c>
      <c r="G105" s="178">
        <v>0</v>
      </c>
    </row>
    <row r="106" ht="20.05" customHeight="1">
      <c r="A106" s="12"/>
      <c r="B106" s="13"/>
      <c r="C106" t="s" s="177">
        <v>1054</v>
      </c>
      <c r="D106" s="178">
        <v>0</v>
      </c>
      <c r="E106" s="178">
        <v>4</v>
      </c>
      <c r="F106" s="178">
        <v>0</v>
      </c>
      <c r="G106" s="178">
        <v>0</v>
      </c>
    </row>
    <row r="107" ht="20.05" customHeight="1">
      <c r="A107" s="12"/>
      <c r="B107" s="13"/>
      <c r="C107" t="s" s="177">
        <v>1055</v>
      </c>
      <c r="D107" s="178">
        <v>0</v>
      </c>
      <c r="E107" s="178">
        <v>1</v>
      </c>
      <c r="F107" s="178">
        <v>0</v>
      </c>
      <c r="G107" s="178">
        <v>0</v>
      </c>
    </row>
    <row r="108" ht="20.05" customHeight="1">
      <c r="A108" s="12"/>
      <c r="B108" s="13"/>
      <c r="C108" t="s" s="177">
        <v>1056</v>
      </c>
      <c r="D108" s="178">
        <v>0</v>
      </c>
      <c r="E108" s="178">
        <v>1</v>
      </c>
      <c r="F108" s="178">
        <v>0</v>
      </c>
      <c r="G108" s="178">
        <v>0</v>
      </c>
    </row>
    <row r="109" ht="20.05" customHeight="1">
      <c r="A109" s="12"/>
      <c r="B109" s="13"/>
      <c r="C109" t="s" s="177">
        <v>1057</v>
      </c>
      <c r="D109" s="178">
        <v>0</v>
      </c>
      <c r="E109" s="178">
        <v>1</v>
      </c>
      <c r="F109" s="178">
        <v>0</v>
      </c>
      <c r="G109" s="178">
        <v>0</v>
      </c>
    </row>
    <row r="110" ht="20.05" customHeight="1">
      <c r="A110" t="s" s="26">
        <v>266</v>
      </c>
      <c r="B110" t="s" s="180">
        <v>267</v>
      </c>
      <c r="C110" t="s" s="28">
        <v>268</v>
      </c>
      <c r="D110" s="29">
        <v>0</v>
      </c>
      <c r="E110" s="29">
        <v>27</v>
      </c>
      <c r="F110" s="29">
        <v>0</v>
      </c>
      <c r="G110" s="29">
        <v>1</v>
      </c>
    </row>
    <row r="111" ht="20.05" customHeight="1">
      <c r="A111" s="12"/>
      <c r="B111" s="13"/>
      <c r="C111" t="s" s="28">
        <v>1058</v>
      </c>
      <c r="D111" s="29">
        <v>0</v>
      </c>
      <c r="E111" s="29">
        <v>12</v>
      </c>
      <c r="F111" s="29">
        <v>0</v>
      </c>
      <c r="G111" s="29">
        <v>0</v>
      </c>
    </row>
    <row r="112" ht="20.05" customHeight="1">
      <c r="A112" s="12"/>
      <c r="B112" s="13"/>
      <c r="C112" t="s" s="28">
        <v>270</v>
      </c>
      <c r="D112" s="29">
        <v>0</v>
      </c>
      <c r="E112" s="29">
        <v>3</v>
      </c>
      <c r="F112" s="29">
        <v>0</v>
      </c>
      <c r="G112" s="29">
        <v>0</v>
      </c>
    </row>
    <row r="113" ht="20.05" customHeight="1">
      <c r="A113" s="12"/>
      <c r="B113" t="s" s="180">
        <v>554</v>
      </c>
      <c r="C113" t="s" s="28">
        <v>554</v>
      </c>
      <c r="D113" s="29">
        <v>0</v>
      </c>
      <c r="E113" s="29">
        <v>4</v>
      </c>
      <c r="F113" s="29">
        <v>0</v>
      </c>
      <c r="G113" s="29">
        <v>0</v>
      </c>
    </row>
    <row r="114" ht="20.05" customHeight="1">
      <c r="A114" s="12"/>
      <c r="B114" s="13"/>
      <c r="C114" t="s" s="28">
        <v>297</v>
      </c>
      <c r="D114" s="29">
        <v>0</v>
      </c>
      <c r="E114" s="29">
        <v>2</v>
      </c>
      <c r="F114" s="29">
        <v>0</v>
      </c>
      <c r="G114" s="29">
        <v>0</v>
      </c>
    </row>
    <row r="115" ht="20.05" customHeight="1">
      <c r="A115" s="12"/>
      <c r="B115" s="13"/>
      <c r="C115" t="s" s="28">
        <v>281</v>
      </c>
      <c r="D115" s="29">
        <v>1</v>
      </c>
      <c r="E115" s="29">
        <v>6</v>
      </c>
      <c r="F115" s="29">
        <v>0</v>
      </c>
      <c r="G115" s="29">
        <v>1</v>
      </c>
    </row>
    <row r="116" ht="20.05" customHeight="1">
      <c r="A116" s="12"/>
      <c r="B116" s="13"/>
      <c r="C116" t="s" s="28">
        <v>555</v>
      </c>
      <c r="D116" s="29">
        <v>0</v>
      </c>
      <c r="E116" s="29">
        <v>3</v>
      </c>
      <c r="F116" s="29">
        <v>0</v>
      </c>
      <c r="G116" s="29">
        <v>0</v>
      </c>
    </row>
    <row r="117" ht="20.05" customHeight="1">
      <c r="A117" s="12"/>
      <c r="B117" t="s" s="180">
        <v>1059</v>
      </c>
      <c r="C117" t="s" s="28">
        <v>1060</v>
      </c>
      <c r="D117" s="29">
        <v>0</v>
      </c>
      <c r="E117" s="29">
        <v>12</v>
      </c>
      <c r="F117" s="29">
        <v>0</v>
      </c>
      <c r="G117" s="29">
        <v>0</v>
      </c>
    </row>
    <row r="118" ht="20.05" customHeight="1">
      <c r="A118" s="12"/>
      <c r="B118" s="13"/>
      <c r="C118" t="s" s="28">
        <v>1061</v>
      </c>
      <c r="D118" s="29">
        <v>0</v>
      </c>
      <c r="E118" s="29">
        <v>2</v>
      </c>
      <c r="F118" s="29">
        <v>0</v>
      </c>
      <c r="G118" s="29">
        <v>0</v>
      </c>
    </row>
    <row r="119" ht="20.05" customHeight="1">
      <c r="A119" s="12"/>
      <c r="B119" s="13"/>
      <c r="C119" t="s" s="28">
        <v>1062</v>
      </c>
      <c r="D119" s="29">
        <v>0</v>
      </c>
      <c r="E119" s="29">
        <v>1</v>
      </c>
      <c r="F119" s="29">
        <v>0</v>
      </c>
      <c r="G119" s="29">
        <v>0</v>
      </c>
    </row>
    <row r="120" ht="20.05" customHeight="1">
      <c r="A120" s="12"/>
      <c r="B120" s="13"/>
      <c r="C120" t="s" s="28">
        <v>1063</v>
      </c>
      <c r="D120" s="29">
        <v>0</v>
      </c>
      <c r="E120" s="29">
        <v>2</v>
      </c>
      <c r="F120" s="29">
        <v>0</v>
      </c>
      <c r="G120" s="29">
        <v>0</v>
      </c>
    </row>
    <row r="121" ht="20.05" customHeight="1">
      <c r="A121" s="12"/>
      <c r="B121" s="13"/>
      <c r="C121" t="s" s="28">
        <v>1064</v>
      </c>
      <c r="D121" s="29">
        <v>0</v>
      </c>
      <c r="E121" s="29">
        <v>7</v>
      </c>
      <c r="F121" s="29">
        <v>0</v>
      </c>
      <c r="G121" s="29">
        <v>1</v>
      </c>
    </row>
    <row r="122" ht="20.05" customHeight="1">
      <c r="A122" s="12"/>
      <c r="B122" s="13"/>
      <c r="C122" t="s" s="28">
        <v>285</v>
      </c>
      <c r="D122" s="29">
        <v>0</v>
      </c>
      <c r="E122" s="29">
        <v>1</v>
      </c>
      <c r="F122" s="29">
        <v>1</v>
      </c>
      <c r="G122" s="29">
        <v>0</v>
      </c>
    </row>
    <row r="123" ht="23.95" customHeight="1">
      <c r="A123" s="12"/>
      <c r="B123" t="s" s="180">
        <v>280</v>
      </c>
      <c r="C123" t="s" s="28">
        <v>1065</v>
      </c>
      <c r="D123" s="29">
        <v>0</v>
      </c>
      <c r="E123" s="29">
        <v>7</v>
      </c>
      <c r="F123" s="29">
        <v>0</v>
      </c>
      <c r="G123" s="29">
        <v>1</v>
      </c>
    </row>
    <row r="124" ht="20.05" customHeight="1">
      <c r="A124" s="12"/>
      <c r="B124" t="s" s="180">
        <v>308</v>
      </c>
      <c r="C124" t="s" s="28">
        <v>309</v>
      </c>
      <c r="D124" s="29">
        <v>0</v>
      </c>
      <c r="E124" s="29">
        <v>4</v>
      </c>
      <c r="F124" s="29">
        <v>0</v>
      </c>
      <c r="G124" s="29">
        <v>0</v>
      </c>
    </row>
    <row r="125" ht="20.05" customHeight="1">
      <c r="A125" s="12"/>
      <c r="B125" s="13"/>
      <c r="C125" t="s" s="28">
        <v>310</v>
      </c>
      <c r="D125" s="29">
        <v>0</v>
      </c>
      <c r="E125" s="29">
        <v>2</v>
      </c>
      <c r="F125" s="29">
        <v>0</v>
      </c>
      <c r="G125" s="29">
        <v>0</v>
      </c>
    </row>
    <row r="126" ht="20.05" customHeight="1">
      <c r="A126" s="12"/>
      <c r="B126" s="13"/>
      <c r="C126" t="s" s="28">
        <v>289</v>
      </c>
      <c r="D126" s="29">
        <v>0</v>
      </c>
      <c r="E126" s="29">
        <v>4</v>
      </c>
      <c r="F126" s="29">
        <v>0</v>
      </c>
      <c r="G126" s="29">
        <v>0</v>
      </c>
    </row>
    <row r="127" ht="20.05" customHeight="1">
      <c r="A127" s="12"/>
      <c r="B127" t="s" s="180">
        <v>1066</v>
      </c>
      <c r="C127" t="s" s="28">
        <v>650</v>
      </c>
      <c r="D127" s="29">
        <v>0</v>
      </c>
      <c r="E127" s="29">
        <v>38</v>
      </c>
      <c r="F127" s="29">
        <v>0</v>
      </c>
      <c r="G127" s="29">
        <v>0</v>
      </c>
    </row>
    <row r="128" ht="20.05" customHeight="1">
      <c r="A128" s="12"/>
      <c r="B128" s="13"/>
      <c r="C128" t="s" s="28">
        <v>651</v>
      </c>
      <c r="D128" s="29">
        <v>0</v>
      </c>
      <c r="E128" s="29">
        <v>2</v>
      </c>
      <c r="F128" s="29">
        <v>0</v>
      </c>
      <c r="G128" s="29">
        <v>0</v>
      </c>
    </row>
    <row r="129" ht="20.05" customHeight="1">
      <c r="A129" s="12"/>
      <c r="B129" s="13"/>
      <c r="C129" t="s" s="28">
        <v>306</v>
      </c>
      <c r="D129" s="29">
        <v>0</v>
      </c>
      <c r="E129" s="29">
        <v>31</v>
      </c>
      <c r="F129" s="29">
        <v>0</v>
      </c>
      <c r="G129" s="29">
        <v>0</v>
      </c>
    </row>
    <row r="130" ht="20.05" customHeight="1">
      <c r="A130" s="12"/>
      <c r="B130" s="13"/>
      <c r="C130" t="s" s="28">
        <v>304</v>
      </c>
      <c r="D130" s="29">
        <v>0</v>
      </c>
      <c r="E130" s="29">
        <v>21</v>
      </c>
      <c r="F130" s="29">
        <v>0</v>
      </c>
      <c r="G130" s="29">
        <v>0</v>
      </c>
    </row>
    <row r="131" ht="39.95" customHeight="1">
      <c r="A131" s="181"/>
      <c r="B131" t="s" s="180">
        <v>1067</v>
      </c>
      <c r="C131" t="s" s="28">
        <v>296</v>
      </c>
      <c r="D131" s="29">
        <v>0</v>
      </c>
      <c r="E131" s="29">
        <v>6</v>
      </c>
      <c r="F131" s="29">
        <v>0</v>
      </c>
      <c r="G131" s="29">
        <v>0</v>
      </c>
    </row>
    <row r="132" ht="20.05" customHeight="1">
      <c r="A132" t="s" s="30">
        <v>315</v>
      </c>
      <c r="B132" t="s" s="182">
        <v>1068</v>
      </c>
      <c r="C132" t="s" s="32">
        <v>317</v>
      </c>
      <c r="D132" s="33">
        <v>0</v>
      </c>
      <c r="E132" s="33">
        <v>30</v>
      </c>
      <c r="F132" s="33">
        <v>2</v>
      </c>
      <c r="G132" s="33">
        <v>0</v>
      </c>
    </row>
    <row r="133" ht="20.05" customHeight="1">
      <c r="A133" s="12"/>
      <c r="B133" s="13"/>
      <c r="C133" t="s" s="32">
        <v>320</v>
      </c>
      <c r="D133" s="33">
        <v>0</v>
      </c>
      <c r="E133" s="33">
        <v>8</v>
      </c>
      <c r="F133" s="33">
        <v>0</v>
      </c>
      <c r="G133" s="33">
        <v>0</v>
      </c>
    </row>
    <row r="134" ht="20.05" customHeight="1">
      <c r="A134" s="12"/>
      <c r="B134" s="13"/>
      <c r="C134" t="s" s="32">
        <v>1069</v>
      </c>
      <c r="D134" s="33">
        <v>0</v>
      </c>
      <c r="E134" s="33">
        <v>6</v>
      </c>
      <c r="F134" s="33">
        <v>0</v>
      </c>
      <c r="G134" s="33">
        <v>0</v>
      </c>
    </row>
    <row r="135" ht="20.05" customHeight="1">
      <c r="A135" s="12"/>
      <c r="B135" s="13"/>
      <c r="C135" t="s" s="32">
        <v>1070</v>
      </c>
      <c r="D135" s="33">
        <v>0</v>
      </c>
      <c r="E135" s="33">
        <v>10</v>
      </c>
      <c r="F135" s="33">
        <v>0</v>
      </c>
      <c r="G135" s="33">
        <v>0</v>
      </c>
    </row>
    <row r="136" ht="20.05" customHeight="1">
      <c r="A136" s="12"/>
      <c r="B136" t="s" s="31">
        <v>1071</v>
      </c>
      <c r="C136" t="s" s="32">
        <v>1072</v>
      </c>
      <c r="D136" s="33">
        <v>0</v>
      </c>
      <c r="E136" s="33">
        <v>1</v>
      </c>
      <c r="F136" s="33">
        <v>0</v>
      </c>
      <c r="G136" s="33">
        <v>0</v>
      </c>
    </row>
    <row r="137" ht="20.05" customHeight="1">
      <c r="A137" s="12"/>
      <c r="B137" s="13"/>
      <c r="C137" t="s" s="32">
        <v>1073</v>
      </c>
      <c r="D137" s="33">
        <v>0</v>
      </c>
      <c r="E137" s="33">
        <v>2</v>
      </c>
      <c r="F137" s="33">
        <v>0</v>
      </c>
      <c r="G137" s="33">
        <v>0</v>
      </c>
    </row>
    <row r="138" ht="20.05" customHeight="1">
      <c r="A138" s="12"/>
      <c r="B138" s="13"/>
      <c r="C138" t="s" s="32">
        <v>1074</v>
      </c>
      <c r="D138" s="33">
        <v>0</v>
      </c>
      <c r="E138" s="33">
        <v>2</v>
      </c>
      <c r="F138" s="33">
        <v>0</v>
      </c>
      <c r="G138" s="33">
        <v>0</v>
      </c>
    </row>
    <row r="139" ht="20.05" customHeight="1">
      <c r="A139" s="12"/>
      <c r="B139" s="13"/>
      <c r="C139" t="s" s="32">
        <v>1075</v>
      </c>
      <c r="D139" s="33">
        <v>0</v>
      </c>
      <c r="E139" s="33">
        <v>4</v>
      </c>
      <c r="F139" s="33">
        <v>0</v>
      </c>
      <c r="G139" s="33">
        <v>0</v>
      </c>
    </row>
    <row r="140" ht="20.05" customHeight="1">
      <c r="A140" s="12"/>
      <c r="B140" s="13"/>
      <c r="C140" t="s" s="32">
        <v>1076</v>
      </c>
      <c r="D140" s="33">
        <v>1</v>
      </c>
      <c r="E140" s="33">
        <v>15</v>
      </c>
      <c r="F140" s="33">
        <v>0</v>
      </c>
      <c r="G140" s="33">
        <v>0</v>
      </c>
    </row>
    <row r="141" ht="20.05" customHeight="1">
      <c r="A141" s="12"/>
      <c r="B141" s="13"/>
      <c r="C141" t="s" s="32">
        <v>342</v>
      </c>
      <c r="D141" s="33">
        <v>0</v>
      </c>
      <c r="E141" s="33">
        <v>10</v>
      </c>
      <c r="F141" s="33">
        <v>0</v>
      </c>
      <c r="G141" s="33">
        <v>0</v>
      </c>
    </row>
    <row r="142" ht="20.05" customHeight="1">
      <c r="A142" s="12"/>
      <c r="B142" t="s" s="182">
        <v>1077</v>
      </c>
      <c r="C142" t="s" s="32">
        <v>1078</v>
      </c>
      <c r="D142" s="33">
        <v>0</v>
      </c>
      <c r="E142" s="33">
        <v>1</v>
      </c>
      <c r="F142" s="33">
        <v>0</v>
      </c>
      <c r="G142" s="33">
        <v>0</v>
      </c>
    </row>
    <row r="143" ht="20.05" customHeight="1">
      <c r="A143" s="12"/>
      <c r="B143" s="13"/>
      <c r="C143" t="s" s="32">
        <v>1079</v>
      </c>
      <c r="D143" s="33">
        <v>0</v>
      </c>
      <c r="E143" s="33">
        <v>3</v>
      </c>
      <c r="F143" s="33">
        <v>0</v>
      </c>
      <c r="G143" s="33">
        <v>0</v>
      </c>
    </row>
    <row r="144" ht="20.05" customHeight="1">
      <c r="A144" s="12"/>
      <c r="B144" s="13"/>
      <c r="C144" t="s" s="32">
        <v>323</v>
      </c>
      <c r="D144" s="33">
        <v>0</v>
      </c>
      <c r="E144" s="33">
        <v>3</v>
      </c>
      <c r="F144" s="33">
        <v>0</v>
      </c>
      <c r="G144" s="33">
        <v>0</v>
      </c>
    </row>
    <row r="145" ht="20.05" customHeight="1">
      <c r="A145" s="12"/>
      <c r="B145" s="13"/>
      <c r="C145" t="s" s="32">
        <v>343</v>
      </c>
      <c r="D145" s="33">
        <v>0</v>
      </c>
      <c r="E145" s="33">
        <v>7</v>
      </c>
      <c r="F145" s="33">
        <v>0</v>
      </c>
      <c r="G145" s="33">
        <v>0</v>
      </c>
    </row>
    <row r="146" ht="20.05" customHeight="1">
      <c r="A146" s="12"/>
      <c r="B146" s="13"/>
      <c r="C146" t="s" s="32">
        <v>1080</v>
      </c>
      <c r="D146" s="33">
        <v>0</v>
      </c>
      <c r="E146" s="33">
        <v>4</v>
      </c>
      <c r="F146" s="33">
        <v>0</v>
      </c>
      <c r="G146" s="33">
        <v>0</v>
      </c>
    </row>
    <row r="147" ht="20.05" customHeight="1">
      <c r="A147" s="12"/>
      <c r="B147" t="s" s="182">
        <v>1081</v>
      </c>
      <c r="C147" t="s" s="32">
        <v>325</v>
      </c>
      <c r="D147" s="33">
        <v>1</v>
      </c>
      <c r="E147" s="33">
        <v>2</v>
      </c>
      <c r="F147" s="33">
        <v>0</v>
      </c>
      <c r="G147" s="33">
        <v>0</v>
      </c>
    </row>
    <row r="148" ht="20.05" customHeight="1">
      <c r="A148" s="12"/>
      <c r="B148" s="13"/>
      <c r="C148" t="s" s="32">
        <v>1082</v>
      </c>
      <c r="D148" s="33">
        <v>0</v>
      </c>
      <c r="E148" s="33">
        <v>2</v>
      </c>
      <c r="F148" s="33">
        <v>0</v>
      </c>
      <c r="G148" s="33">
        <v>0</v>
      </c>
    </row>
    <row r="149" ht="20.05" customHeight="1">
      <c r="A149" s="12"/>
      <c r="B149" s="13"/>
      <c r="C149" t="s" s="32">
        <v>1083</v>
      </c>
      <c r="D149" s="33">
        <v>0</v>
      </c>
      <c r="E149" s="33">
        <v>3</v>
      </c>
      <c r="F149" s="33">
        <v>0</v>
      </c>
      <c r="G149" s="33">
        <v>0</v>
      </c>
    </row>
    <row r="150" ht="20.05" customHeight="1">
      <c r="A150" s="12"/>
      <c r="B150" s="13"/>
      <c r="C150" t="s" s="32">
        <v>329</v>
      </c>
      <c r="D150" s="33">
        <v>0</v>
      </c>
      <c r="E150" s="33">
        <v>11</v>
      </c>
      <c r="F150" s="33">
        <v>1</v>
      </c>
      <c r="G150" s="33">
        <v>1</v>
      </c>
    </row>
    <row r="151" ht="20.05" customHeight="1">
      <c r="A151" s="12"/>
      <c r="B151" s="13"/>
      <c r="C151" t="s" s="32">
        <v>330</v>
      </c>
      <c r="D151" s="33">
        <v>0</v>
      </c>
      <c r="E151" s="33">
        <v>33</v>
      </c>
      <c r="F151" s="33">
        <v>0</v>
      </c>
      <c r="G151" s="33">
        <v>0</v>
      </c>
    </row>
    <row r="152" ht="20.05" customHeight="1">
      <c r="A152" s="12"/>
      <c r="B152" t="s" s="182">
        <v>1084</v>
      </c>
      <c r="C152" t="s" s="32">
        <v>331</v>
      </c>
      <c r="D152" s="33">
        <v>0</v>
      </c>
      <c r="E152" s="33">
        <v>24</v>
      </c>
      <c r="F152" s="33">
        <v>0</v>
      </c>
      <c r="G152" s="33">
        <v>0</v>
      </c>
    </row>
    <row r="153" ht="20.05" customHeight="1">
      <c r="A153" s="12"/>
      <c r="B153" s="13"/>
      <c r="C153" t="s" s="32">
        <v>1085</v>
      </c>
      <c r="D153" s="33">
        <v>0</v>
      </c>
      <c r="E153" s="33">
        <v>1</v>
      </c>
      <c r="F153" s="33">
        <v>0</v>
      </c>
      <c r="G153" s="33">
        <v>0</v>
      </c>
    </row>
    <row r="154" ht="20.05" customHeight="1">
      <c r="A154" s="12"/>
      <c r="B154" s="13"/>
      <c r="C154" t="s" s="32">
        <v>335</v>
      </c>
      <c r="D154" s="33">
        <v>0</v>
      </c>
      <c r="E154" s="33">
        <v>5</v>
      </c>
      <c r="F154" s="33">
        <v>0</v>
      </c>
      <c r="G154" s="33">
        <v>0</v>
      </c>
    </row>
    <row r="155" ht="20.05" customHeight="1">
      <c r="A155" s="12"/>
      <c r="B155" s="13"/>
      <c r="C155" t="s" s="32">
        <v>336</v>
      </c>
      <c r="D155" s="33">
        <v>0</v>
      </c>
      <c r="E155" s="33">
        <v>6</v>
      </c>
      <c r="F155" s="33">
        <v>0</v>
      </c>
      <c r="G155" s="33">
        <v>0</v>
      </c>
    </row>
    <row r="156" ht="20.05" customHeight="1">
      <c r="A156" s="12"/>
      <c r="B156" s="13"/>
      <c r="C156" t="s" s="32">
        <v>337</v>
      </c>
      <c r="D156" s="33">
        <v>0</v>
      </c>
      <c r="E156" s="33">
        <v>1</v>
      </c>
      <c r="F156" s="33">
        <v>0</v>
      </c>
      <c r="G156" s="33">
        <v>0</v>
      </c>
    </row>
    <row r="157" ht="20.05" customHeight="1">
      <c r="A157" s="12"/>
      <c r="B157" s="13"/>
      <c r="C157" t="s" s="32">
        <v>354</v>
      </c>
      <c r="D157" s="33">
        <v>0</v>
      </c>
      <c r="E157" s="33">
        <v>2</v>
      </c>
      <c r="F157" s="33">
        <v>0</v>
      </c>
      <c r="G157" s="33">
        <v>0</v>
      </c>
    </row>
    <row r="158" ht="20.05" customHeight="1">
      <c r="A158" s="12"/>
      <c r="B158" s="13"/>
      <c r="C158" t="s" s="32">
        <v>339</v>
      </c>
      <c r="D158" s="33">
        <v>0</v>
      </c>
      <c r="E158" s="33">
        <v>28</v>
      </c>
      <c r="F158" s="33">
        <v>0</v>
      </c>
      <c r="G158" s="33">
        <v>0</v>
      </c>
    </row>
    <row r="159" ht="20.05" customHeight="1">
      <c r="A159" s="12"/>
      <c r="B159" t="s" s="182">
        <v>1086</v>
      </c>
      <c r="C159" t="s" s="32">
        <v>1087</v>
      </c>
      <c r="D159" s="33">
        <v>0</v>
      </c>
      <c r="E159" s="33">
        <v>5</v>
      </c>
      <c r="F159" s="33">
        <v>0</v>
      </c>
      <c r="G159" s="33">
        <v>0</v>
      </c>
    </row>
    <row r="160" ht="20.05" customHeight="1">
      <c r="A160" s="12"/>
      <c r="B160" s="13"/>
      <c r="C160" t="s" s="32">
        <v>1088</v>
      </c>
      <c r="D160" s="33">
        <v>0</v>
      </c>
      <c r="E160" s="33">
        <v>2</v>
      </c>
      <c r="F160" s="33">
        <v>0</v>
      </c>
      <c r="G160" s="33">
        <v>0</v>
      </c>
    </row>
    <row r="161" ht="20.05" customHeight="1">
      <c r="A161" s="12"/>
      <c r="B161" s="13"/>
      <c r="C161" t="s" s="32">
        <v>1089</v>
      </c>
      <c r="D161" s="33">
        <v>0</v>
      </c>
      <c r="E161" s="179">
        <v>0</v>
      </c>
      <c r="F161" s="33">
        <v>0</v>
      </c>
      <c r="G161" s="33">
        <v>0</v>
      </c>
    </row>
    <row r="162" ht="20.05" customHeight="1">
      <c r="A162" s="12"/>
      <c r="B162" s="13"/>
      <c r="C162" t="s" s="32">
        <v>1090</v>
      </c>
      <c r="D162" s="33">
        <v>0</v>
      </c>
      <c r="E162" s="33">
        <v>2</v>
      </c>
      <c r="F162" s="33">
        <v>0</v>
      </c>
      <c r="G162" s="33">
        <v>0</v>
      </c>
    </row>
    <row r="163" ht="23.95" customHeight="1">
      <c r="A163" s="12"/>
      <c r="B163" t="s" s="182">
        <v>1091</v>
      </c>
      <c r="C163" t="s" s="32">
        <v>1092</v>
      </c>
      <c r="D163" s="33">
        <v>0</v>
      </c>
      <c r="E163" s="33">
        <v>2</v>
      </c>
      <c r="F163" s="33">
        <v>0</v>
      </c>
      <c r="G163" s="33">
        <v>0</v>
      </c>
    </row>
    <row r="164" ht="32.05" customHeight="1">
      <c r="A164" s="12"/>
      <c r="B164" t="s" s="182">
        <v>1093</v>
      </c>
      <c r="C164" t="s" s="32">
        <v>1094</v>
      </c>
      <c r="D164" s="33">
        <v>0</v>
      </c>
      <c r="E164" s="33">
        <v>2</v>
      </c>
      <c r="F164" s="33">
        <v>0</v>
      </c>
      <c r="G164" s="33">
        <v>0</v>
      </c>
    </row>
    <row r="165" ht="20.05" customHeight="1">
      <c r="A165" s="12"/>
      <c r="B165" s="13"/>
      <c r="C165" t="s" s="32">
        <v>351</v>
      </c>
      <c r="D165" s="33">
        <v>0</v>
      </c>
      <c r="E165" s="33">
        <v>7</v>
      </c>
      <c r="F165" s="33">
        <v>0</v>
      </c>
      <c r="G165" s="33">
        <v>0</v>
      </c>
    </row>
    <row r="166" ht="20.05" customHeight="1">
      <c r="A166" s="12"/>
      <c r="B166" s="13"/>
      <c r="C166" t="s" s="32">
        <v>1095</v>
      </c>
      <c r="D166" s="33">
        <v>0</v>
      </c>
      <c r="E166" s="33">
        <v>2</v>
      </c>
      <c r="F166" s="33">
        <v>0</v>
      </c>
      <c r="G166" s="33">
        <v>0</v>
      </c>
    </row>
    <row r="167" ht="20.05" customHeight="1">
      <c r="A167" s="12"/>
      <c r="B167" s="13"/>
      <c r="C167" t="s" s="32">
        <v>352</v>
      </c>
      <c r="D167" s="33">
        <v>0</v>
      </c>
      <c r="E167" s="33">
        <v>2</v>
      </c>
      <c r="F167" s="33">
        <v>0</v>
      </c>
      <c r="G167" s="33">
        <v>0</v>
      </c>
    </row>
    <row r="168" ht="20.05" customHeight="1">
      <c r="A168" s="12"/>
      <c r="B168" s="13"/>
      <c r="C168" t="s" s="32">
        <v>1096</v>
      </c>
      <c r="D168" s="33">
        <v>0</v>
      </c>
      <c r="E168" s="33">
        <v>4</v>
      </c>
      <c r="F168" s="33">
        <v>0</v>
      </c>
      <c r="G168" s="33">
        <v>0</v>
      </c>
    </row>
    <row r="169" ht="20.05" customHeight="1">
      <c r="A169" t="s" s="19">
        <v>1097</v>
      </c>
      <c r="B169" t="s" s="171">
        <v>1098</v>
      </c>
      <c r="C169" s="183"/>
      <c r="D169" s="184"/>
      <c r="E169" s="185"/>
      <c r="F169" s="184"/>
      <c r="G169" s="184"/>
    </row>
    <row r="170" ht="20.05" customHeight="1">
      <c r="A170" s="12"/>
      <c r="B170" s="13"/>
      <c r="C170" s="183"/>
      <c r="D170" s="184"/>
      <c r="E170" s="185"/>
      <c r="F170" s="184"/>
      <c r="G170" s="184"/>
    </row>
    <row r="171" ht="20.05" customHeight="1">
      <c r="A171" s="12"/>
      <c r="B171" t="s" s="171">
        <v>1099</v>
      </c>
      <c r="C171" s="183"/>
      <c r="D171" s="184"/>
      <c r="E171" s="185"/>
      <c r="F171" s="184"/>
      <c r="G171" s="184"/>
    </row>
    <row r="172" ht="20.05" customHeight="1">
      <c r="A172" s="12"/>
      <c r="B172" s="13"/>
      <c r="C172" s="183"/>
      <c r="D172" s="184"/>
      <c r="E172" s="185"/>
      <c r="F172" s="184"/>
      <c r="G172" s="184"/>
    </row>
    <row r="173" ht="20.05" customHeight="1">
      <c r="A173" s="12"/>
      <c r="B173" t="s" s="171">
        <v>1100</v>
      </c>
      <c r="C173" s="183"/>
      <c r="D173" s="184"/>
      <c r="E173" s="185"/>
      <c r="F173" s="184"/>
      <c r="G173" s="184"/>
    </row>
    <row r="174" ht="20.05" customHeight="1">
      <c r="A174" s="12"/>
      <c r="B174" s="13"/>
      <c r="C174" s="183"/>
      <c r="D174" s="184"/>
      <c r="E174" s="185"/>
      <c r="F174" s="184"/>
      <c r="G174" s="184"/>
    </row>
    <row r="175" ht="20.05" customHeight="1">
      <c r="A175" s="12"/>
      <c r="B175" t="s" s="171">
        <v>1101</v>
      </c>
      <c r="C175" s="183"/>
      <c r="D175" s="184"/>
      <c r="E175" s="185"/>
      <c r="F175" s="184"/>
      <c r="G175" s="184"/>
    </row>
    <row r="176" ht="20.05" customHeight="1">
      <c r="A176" s="12"/>
      <c r="B176" s="13"/>
      <c r="C176" s="183"/>
      <c r="D176" s="184"/>
      <c r="E176" s="185"/>
      <c r="F176" s="184"/>
      <c r="G176" s="184"/>
    </row>
    <row r="177" ht="20.05" customHeight="1">
      <c r="A177" s="12"/>
      <c r="B177" t="s" s="171">
        <v>1102</v>
      </c>
      <c r="C177" s="183"/>
      <c r="D177" s="184"/>
      <c r="E177" s="185"/>
      <c r="F177" s="184"/>
      <c r="G177" s="184"/>
    </row>
    <row r="178" ht="20.05" customHeight="1">
      <c r="A178" s="12"/>
      <c r="B178" s="13"/>
      <c r="C178" s="183"/>
      <c r="D178" s="184"/>
      <c r="E178" s="185"/>
      <c r="F178" s="184"/>
      <c r="G178" s="184"/>
    </row>
    <row r="179" ht="23.95" customHeight="1">
      <c r="A179" s="12"/>
      <c r="B179" t="s" s="171">
        <v>1103</v>
      </c>
      <c r="C179" s="183"/>
      <c r="D179" s="184"/>
      <c r="E179" s="185"/>
      <c r="F179" s="184"/>
      <c r="G179" s="184"/>
    </row>
    <row r="180" ht="20.05" customHeight="1">
      <c r="A180" t="s" s="36">
        <v>356</v>
      </c>
      <c r="B180" t="s" s="174">
        <v>361</v>
      </c>
      <c r="C180" t="s" s="38">
        <v>1104</v>
      </c>
      <c r="D180" s="39">
        <v>0</v>
      </c>
      <c r="E180" s="39">
        <v>26</v>
      </c>
      <c r="F180" s="39">
        <v>0</v>
      </c>
      <c r="G180" s="39">
        <v>0</v>
      </c>
    </row>
    <row r="181" ht="20.05" customHeight="1">
      <c r="A181" s="12"/>
      <c r="B181" s="13"/>
      <c r="C181" t="s" s="38">
        <v>365</v>
      </c>
      <c r="D181" s="39">
        <v>0</v>
      </c>
      <c r="E181" s="39">
        <v>12</v>
      </c>
      <c r="F181" s="39">
        <v>0</v>
      </c>
      <c r="G181" s="39">
        <v>0</v>
      </c>
    </row>
    <row r="182" ht="20.05" customHeight="1">
      <c r="A182" s="12"/>
      <c r="B182" t="s" s="174">
        <v>369</v>
      </c>
      <c r="C182" t="s" s="38">
        <v>584</v>
      </c>
      <c r="D182" s="39">
        <v>0</v>
      </c>
      <c r="E182" s="39">
        <v>7</v>
      </c>
      <c r="F182" s="39">
        <v>0</v>
      </c>
      <c r="G182" s="39">
        <v>0</v>
      </c>
    </row>
    <row r="183" ht="20.05" customHeight="1">
      <c r="A183" s="12"/>
      <c r="B183" s="13"/>
      <c r="C183" t="s" s="38">
        <v>585</v>
      </c>
      <c r="D183" s="39">
        <v>0</v>
      </c>
      <c r="E183" s="39">
        <v>1</v>
      </c>
      <c r="F183" s="39">
        <v>0</v>
      </c>
      <c r="G183" s="39">
        <v>0</v>
      </c>
    </row>
    <row r="184" ht="20.05" customHeight="1">
      <c r="A184" s="12"/>
      <c r="B184" s="13"/>
      <c r="C184" t="s" s="38">
        <v>1105</v>
      </c>
      <c r="D184" s="39">
        <v>0</v>
      </c>
      <c r="E184" s="39">
        <v>3</v>
      </c>
      <c r="F184" s="39">
        <v>0</v>
      </c>
      <c r="G184" s="39">
        <v>0</v>
      </c>
    </row>
    <row r="185" ht="20.05" customHeight="1">
      <c r="A185" s="12"/>
      <c r="B185" s="13"/>
      <c r="C185" t="s" s="38">
        <v>1106</v>
      </c>
      <c r="D185" s="39">
        <v>0</v>
      </c>
      <c r="E185" s="39">
        <v>1</v>
      </c>
      <c r="F185" s="39">
        <v>0</v>
      </c>
      <c r="G185" s="39">
        <v>0</v>
      </c>
    </row>
    <row r="186" ht="20.05" customHeight="1">
      <c r="A186" s="12"/>
      <c r="B186" s="13"/>
      <c r="C186" t="s" s="38">
        <v>554</v>
      </c>
      <c r="D186" s="39">
        <v>0</v>
      </c>
      <c r="E186" s="39">
        <v>4</v>
      </c>
      <c r="F186" s="39">
        <v>0</v>
      </c>
      <c r="G186" s="39">
        <v>0</v>
      </c>
    </row>
    <row r="187" ht="20.05" customHeight="1">
      <c r="A187" s="12"/>
      <c r="B187" t="s" s="174">
        <v>375</v>
      </c>
      <c r="C187" t="s" s="38">
        <v>376</v>
      </c>
      <c r="D187" s="39">
        <v>0</v>
      </c>
      <c r="E187" s="39">
        <v>8</v>
      </c>
      <c r="F187" s="39">
        <v>0</v>
      </c>
      <c r="G187" s="39">
        <v>1</v>
      </c>
    </row>
    <row r="188" ht="20.05" customHeight="1">
      <c r="A188" s="12"/>
      <c r="B188" s="13"/>
      <c r="C188" t="s" s="38">
        <v>1107</v>
      </c>
      <c r="D188" s="39">
        <v>0</v>
      </c>
      <c r="E188" s="39">
        <v>4</v>
      </c>
      <c r="F188" s="39">
        <v>0</v>
      </c>
      <c r="G188" s="39">
        <v>0</v>
      </c>
    </row>
    <row r="189" ht="20.05" customHeight="1">
      <c r="A189" s="12"/>
      <c r="B189" s="13"/>
      <c r="C189" t="s" s="38">
        <v>587</v>
      </c>
      <c r="D189" s="39">
        <v>0</v>
      </c>
      <c r="E189" s="39">
        <v>3</v>
      </c>
      <c r="F189" s="39">
        <v>0</v>
      </c>
      <c r="G189" s="39">
        <v>0</v>
      </c>
    </row>
    <row r="190" ht="20.05" customHeight="1">
      <c r="A190" s="12"/>
      <c r="B190" s="13"/>
      <c r="C190" t="s" s="38">
        <v>377</v>
      </c>
      <c r="D190" s="39">
        <v>1</v>
      </c>
      <c r="E190" s="39">
        <v>2</v>
      </c>
      <c r="F190" s="39">
        <v>0</v>
      </c>
      <c r="G190" s="39">
        <v>1</v>
      </c>
    </row>
    <row r="191" ht="20.05" customHeight="1">
      <c r="A191" s="12"/>
      <c r="B191" s="13"/>
      <c r="C191" t="s" s="38">
        <v>378</v>
      </c>
      <c r="D191" s="39">
        <v>0</v>
      </c>
      <c r="E191" s="39">
        <v>21</v>
      </c>
      <c r="F191" s="39">
        <v>0</v>
      </c>
      <c r="G191" s="39">
        <v>0</v>
      </c>
    </row>
    <row r="192" ht="23.95" customHeight="1">
      <c r="A192" s="12"/>
      <c r="B192" t="s" s="174">
        <v>1108</v>
      </c>
      <c r="C192" t="s" s="38">
        <v>1108</v>
      </c>
      <c r="D192" s="39">
        <v>0</v>
      </c>
      <c r="E192" s="186">
        <v>0</v>
      </c>
      <c r="F192" s="39">
        <v>0</v>
      </c>
      <c r="G192" s="39">
        <v>0</v>
      </c>
    </row>
    <row r="193" ht="32.05" customHeight="1">
      <c r="A193" s="12"/>
      <c r="B193" t="s" s="174">
        <v>370</v>
      </c>
      <c r="C193" t="s" s="38">
        <v>371</v>
      </c>
      <c r="D193" s="39">
        <v>0</v>
      </c>
      <c r="E193" s="39">
        <v>1</v>
      </c>
      <c r="F193" s="39">
        <v>0</v>
      </c>
      <c r="G193" s="39">
        <v>0</v>
      </c>
    </row>
    <row r="194" ht="20.05" customHeight="1">
      <c r="A194" s="12"/>
      <c r="B194" s="13"/>
      <c r="C194" t="s" s="38">
        <v>372</v>
      </c>
      <c r="D194" s="39">
        <v>0</v>
      </c>
      <c r="E194" s="39">
        <v>1</v>
      </c>
      <c r="F194" s="39">
        <v>0</v>
      </c>
      <c r="G194" s="39">
        <v>0</v>
      </c>
    </row>
    <row r="195" ht="20.05" customHeight="1">
      <c r="A195" s="12"/>
      <c r="B195" s="13"/>
      <c r="C195" t="s" s="38">
        <v>373</v>
      </c>
      <c r="D195" s="39">
        <v>0</v>
      </c>
      <c r="E195" s="39">
        <v>1</v>
      </c>
      <c r="F195" s="39">
        <v>0</v>
      </c>
      <c r="G195" s="39">
        <v>0</v>
      </c>
    </row>
    <row r="196" ht="20.05" customHeight="1">
      <c r="A196" s="12"/>
      <c r="B196" s="13"/>
      <c r="C196" t="s" s="38">
        <v>374</v>
      </c>
      <c r="D196" s="39">
        <v>0</v>
      </c>
      <c r="E196" s="39">
        <v>9</v>
      </c>
      <c r="F196" s="39">
        <v>0</v>
      </c>
      <c r="G196" s="39">
        <v>0</v>
      </c>
    </row>
    <row r="197" ht="20.05" customHeight="1">
      <c r="A197" t="s" s="187">
        <v>1109</v>
      </c>
      <c r="B197" t="s" s="188">
        <v>1110</v>
      </c>
      <c r="C197" t="s" s="189">
        <v>1111</v>
      </c>
      <c r="D197" s="190">
        <v>0</v>
      </c>
      <c r="E197" s="179">
        <v>0</v>
      </c>
      <c r="F197" s="190">
        <v>0</v>
      </c>
      <c r="G197" s="190">
        <v>0</v>
      </c>
    </row>
    <row r="198" ht="20.05" customHeight="1">
      <c r="A198" s="12"/>
      <c r="B198" s="13"/>
      <c r="C198" t="s" s="189">
        <v>1112</v>
      </c>
      <c r="D198" s="190">
        <v>0</v>
      </c>
      <c r="E198" s="190">
        <v>1</v>
      </c>
      <c r="F198" s="190">
        <v>0</v>
      </c>
      <c r="G198" s="190">
        <v>0</v>
      </c>
    </row>
    <row r="199" ht="20.05" customHeight="1">
      <c r="A199" s="12"/>
      <c r="B199" t="s" s="188">
        <v>1113</v>
      </c>
      <c r="C199" t="s" s="189">
        <v>1114</v>
      </c>
      <c r="D199" s="190">
        <v>0</v>
      </c>
      <c r="E199" s="190">
        <v>1</v>
      </c>
      <c r="F199" s="190">
        <v>0</v>
      </c>
      <c r="G199" s="190">
        <v>0</v>
      </c>
    </row>
    <row r="200" ht="20.05" customHeight="1">
      <c r="A200" s="12"/>
      <c r="B200" s="13"/>
      <c r="C200" t="s" s="189">
        <v>1115</v>
      </c>
      <c r="D200" s="190">
        <v>0</v>
      </c>
      <c r="E200" s="190">
        <v>1</v>
      </c>
      <c r="F200" s="190">
        <v>0</v>
      </c>
      <c r="G200" s="190">
        <v>0</v>
      </c>
    </row>
    <row r="201" ht="20.05" customHeight="1">
      <c r="A201" s="12"/>
      <c r="B201" t="s" s="188">
        <v>1116</v>
      </c>
      <c r="C201" t="s" s="189">
        <v>1117</v>
      </c>
      <c r="D201" s="190">
        <v>0</v>
      </c>
      <c r="E201" s="190">
        <v>4</v>
      </c>
      <c r="F201" s="190">
        <v>0</v>
      </c>
      <c r="G201" s="190">
        <v>0</v>
      </c>
    </row>
    <row r="202" ht="20.05" customHeight="1">
      <c r="A202" s="12"/>
      <c r="B202" s="13"/>
      <c r="C202" t="s" s="189">
        <v>1118</v>
      </c>
      <c r="D202" s="190">
        <v>0</v>
      </c>
      <c r="E202" s="190">
        <v>3</v>
      </c>
      <c r="F202" s="190">
        <v>0</v>
      </c>
      <c r="G202" s="190">
        <v>0</v>
      </c>
    </row>
    <row r="203" ht="20.05" customHeight="1">
      <c r="A203" s="12"/>
      <c r="B203" s="13"/>
      <c r="C203" t="s" s="189">
        <v>1119</v>
      </c>
      <c r="D203" s="190">
        <v>0</v>
      </c>
      <c r="E203" s="190">
        <v>1</v>
      </c>
      <c r="F203" s="190">
        <v>0</v>
      </c>
      <c r="G203" s="190">
        <v>0</v>
      </c>
    </row>
    <row r="204" ht="20.05" customHeight="1">
      <c r="A204" s="12"/>
      <c r="B204" s="13"/>
      <c r="C204" t="s" s="189">
        <v>1120</v>
      </c>
      <c r="D204" s="190">
        <v>0</v>
      </c>
      <c r="E204" s="190">
        <v>2</v>
      </c>
      <c r="F204" s="190">
        <v>0</v>
      </c>
      <c r="G204" s="190">
        <v>0</v>
      </c>
    </row>
    <row r="205" ht="20.05" customHeight="1">
      <c r="A205" s="12"/>
      <c r="B205" s="13"/>
      <c r="C205" t="s" s="189">
        <v>1121</v>
      </c>
      <c r="D205" s="190">
        <v>0</v>
      </c>
      <c r="E205" s="190">
        <v>1</v>
      </c>
      <c r="F205" s="190">
        <v>0</v>
      </c>
      <c r="G205" s="190">
        <v>0</v>
      </c>
    </row>
    <row r="206" ht="20.05" customHeight="1">
      <c r="A206" s="12"/>
      <c r="B206" t="s" s="188">
        <v>1122</v>
      </c>
      <c r="C206" t="s" s="189">
        <v>1123</v>
      </c>
      <c r="D206" s="190">
        <v>0</v>
      </c>
      <c r="E206" s="179">
        <v>0</v>
      </c>
      <c r="F206" s="190">
        <v>0</v>
      </c>
      <c r="G206" s="190">
        <v>0</v>
      </c>
    </row>
    <row r="207" ht="20.05" customHeight="1">
      <c r="A207" s="12"/>
      <c r="B207" s="13"/>
      <c r="C207" t="s" s="189">
        <v>1124</v>
      </c>
      <c r="D207" s="190">
        <v>0</v>
      </c>
      <c r="E207" s="190">
        <v>3</v>
      </c>
      <c r="F207" s="190">
        <v>0</v>
      </c>
      <c r="G207" s="190">
        <v>0</v>
      </c>
    </row>
    <row r="208" ht="20.05" customHeight="1">
      <c r="A208" s="12"/>
      <c r="B208" s="13"/>
      <c r="C208" t="s" s="189">
        <v>892</v>
      </c>
      <c r="D208" s="190">
        <v>0</v>
      </c>
      <c r="E208" s="190">
        <v>1</v>
      </c>
      <c r="F208" s="190">
        <v>0</v>
      </c>
      <c r="G208" s="190">
        <v>0</v>
      </c>
    </row>
    <row r="209" ht="20.05" customHeight="1">
      <c r="A209" s="12"/>
      <c r="B209" t="s" s="188">
        <v>1125</v>
      </c>
      <c r="C209" t="s" s="189">
        <v>1126</v>
      </c>
      <c r="D209" s="190">
        <v>0</v>
      </c>
      <c r="E209" s="190">
        <v>1</v>
      </c>
      <c r="F209" s="190">
        <v>0</v>
      </c>
      <c r="G209" s="190">
        <v>0</v>
      </c>
    </row>
    <row r="210" ht="20.05" customHeight="1">
      <c r="A210" s="12"/>
      <c r="B210" s="13"/>
      <c r="C210" t="s" s="189">
        <v>1127</v>
      </c>
      <c r="D210" s="190">
        <v>0</v>
      </c>
      <c r="E210" s="179">
        <v>0</v>
      </c>
      <c r="F210" s="190">
        <v>0</v>
      </c>
      <c r="G210" s="190">
        <v>0</v>
      </c>
    </row>
    <row r="211" ht="20.05" customHeight="1">
      <c r="A211" s="12"/>
      <c r="B211" s="13"/>
      <c r="C211" t="s" s="189">
        <v>1128</v>
      </c>
      <c r="D211" s="190">
        <v>0</v>
      </c>
      <c r="E211" s="179">
        <v>0</v>
      </c>
      <c r="F211" s="190">
        <v>0</v>
      </c>
      <c r="G211" s="190">
        <v>0</v>
      </c>
    </row>
    <row r="212" ht="20.05" customHeight="1">
      <c r="A212" s="12"/>
      <c r="B212" s="13"/>
      <c r="C212" t="s" s="189">
        <v>1129</v>
      </c>
      <c r="D212" s="190">
        <v>0</v>
      </c>
      <c r="E212" s="179">
        <v>0</v>
      </c>
      <c r="F212" s="190">
        <v>0</v>
      </c>
      <c r="G212" s="190">
        <v>0</v>
      </c>
    </row>
    <row r="213" ht="23.95" customHeight="1">
      <c r="A213" s="12"/>
      <c r="B213" t="s" s="188">
        <v>1130</v>
      </c>
      <c r="C213" t="s" s="189">
        <v>1131</v>
      </c>
      <c r="D213" s="190">
        <v>0</v>
      </c>
      <c r="E213" s="190">
        <v>2</v>
      </c>
      <c r="F213" s="190">
        <v>0</v>
      </c>
      <c r="G213" s="190">
        <v>0</v>
      </c>
    </row>
    <row r="214" ht="20.05" customHeight="1">
      <c r="A214" t="s" s="19">
        <v>1132</v>
      </c>
      <c r="B214" t="s" s="171">
        <v>1133</v>
      </c>
      <c r="C214" t="s" s="21">
        <v>1134</v>
      </c>
      <c r="D214" s="22">
        <v>0</v>
      </c>
      <c r="E214" s="179">
        <v>0</v>
      </c>
      <c r="F214" s="22">
        <v>0</v>
      </c>
      <c r="G214" s="22">
        <v>0</v>
      </c>
    </row>
    <row r="215" ht="20.05" customHeight="1">
      <c r="A215" s="12"/>
      <c r="B215" s="13"/>
      <c r="C215" t="s" s="21">
        <v>1135</v>
      </c>
      <c r="D215" s="22">
        <v>0</v>
      </c>
      <c r="E215" s="22">
        <v>2</v>
      </c>
      <c r="F215" s="22">
        <v>0</v>
      </c>
      <c r="G215" s="22">
        <v>0</v>
      </c>
    </row>
    <row r="216" ht="20.05" customHeight="1">
      <c r="A216" s="12"/>
      <c r="B216" t="s" s="171">
        <v>1136</v>
      </c>
      <c r="C216" t="s" s="21">
        <v>1137</v>
      </c>
      <c r="D216" s="22">
        <v>0</v>
      </c>
      <c r="E216" s="22">
        <v>1</v>
      </c>
      <c r="F216" s="22">
        <v>0</v>
      </c>
      <c r="G216" s="22">
        <v>0</v>
      </c>
    </row>
    <row r="217" ht="20.05" customHeight="1">
      <c r="A217" s="12"/>
      <c r="B217" s="13"/>
      <c r="C217" t="s" s="21">
        <v>1138</v>
      </c>
      <c r="D217" s="22">
        <v>0</v>
      </c>
      <c r="E217" s="22">
        <v>3</v>
      </c>
      <c r="F217" s="22">
        <v>0</v>
      </c>
      <c r="G217" s="22">
        <v>0</v>
      </c>
    </row>
    <row r="218" ht="20.05" customHeight="1">
      <c r="A218" s="12"/>
      <c r="B218" s="13"/>
      <c r="C218" t="s" s="21">
        <v>1139</v>
      </c>
      <c r="D218" s="22">
        <v>0</v>
      </c>
      <c r="E218" s="22">
        <v>3</v>
      </c>
      <c r="F218" s="22">
        <v>0</v>
      </c>
      <c r="G218" s="22">
        <v>0</v>
      </c>
    </row>
    <row r="219" ht="20.05" customHeight="1">
      <c r="A219" s="12"/>
      <c r="B219" t="s" s="171">
        <v>1140</v>
      </c>
      <c r="C219" t="s" s="21">
        <v>1141</v>
      </c>
      <c r="D219" s="22">
        <v>0</v>
      </c>
      <c r="E219" s="22">
        <v>2</v>
      </c>
      <c r="F219" s="22">
        <v>0</v>
      </c>
      <c r="G219" s="22">
        <v>0</v>
      </c>
    </row>
    <row r="220" ht="20.05" customHeight="1">
      <c r="A220" s="12"/>
      <c r="B220" s="13"/>
      <c r="C220" t="s" s="21">
        <v>1142</v>
      </c>
      <c r="D220" s="22">
        <v>0</v>
      </c>
      <c r="E220" s="179">
        <v>0</v>
      </c>
      <c r="F220" s="22">
        <v>0</v>
      </c>
      <c r="G220" s="22">
        <v>0</v>
      </c>
    </row>
    <row r="221" ht="20.05" customHeight="1">
      <c r="A221" s="12"/>
      <c r="B221" s="13"/>
      <c r="C221" t="s" s="21">
        <v>1143</v>
      </c>
      <c r="D221" s="22">
        <v>0</v>
      </c>
      <c r="E221" s="179">
        <v>0</v>
      </c>
      <c r="F221" s="22">
        <v>0</v>
      </c>
      <c r="G221" s="22">
        <v>0</v>
      </c>
    </row>
    <row r="222" ht="20.05" customHeight="1">
      <c r="A222" s="12"/>
      <c r="B222" s="13"/>
      <c r="C222" t="s" s="21">
        <v>1144</v>
      </c>
      <c r="D222" s="22">
        <v>0</v>
      </c>
      <c r="E222" s="179">
        <v>0</v>
      </c>
      <c r="F222" s="22">
        <v>0</v>
      </c>
      <c r="G222" s="22">
        <v>0</v>
      </c>
    </row>
    <row r="223" ht="20.05" customHeight="1">
      <c r="A223" s="12"/>
      <c r="B223" s="13"/>
      <c r="C223" t="s" s="21">
        <v>1145</v>
      </c>
      <c r="D223" s="22">
        <v>0</v>
      </c>
      <c r="E223" s="179">
        <v>0</v>
      </c>
      <c r="F223" s="22">
        <v>0</v>
      </c>
      <c r="G223" s="22">
        <v>0</v>
      </c>
    </row>
    <row r="224" ht="20.05" customHeight="1">
      <c r="A224" t="s" s="191">
        <v>1146</v>
      </c>
      <c r="B224" t="s" s="192">
        <v>1147</v>
      </c>
      <c r="C224" t="s" s="193">
        <v>1148</v>
      </c>
      <c r="D224" s="194">
        <v>0</v>
      </c>
      <c r="E224" s="194">
        <v>3</v>
      </c>
      <c r="F224" s="194">
        <v>0</v>
      </c>
      <c r="G224" s="194">
        <v>0</v>
      </c>
    </row>
    <row r="225" ht="20.05" customHeight="1">
      <c r="A225" s="12"/>
      <c r="B225" s="13"/>
      <c r="C225" t="s" s="193">
        <v>1149</v>
      </c>
      <c r="D225" s="194">
        <v>0</v>
      </c>
      <c r="E225" s="194">
        <v>2</v>
      </c>
      <c r="F225" s="194">
        <v>0</v>
      </c>
      <c r="G225" s="194">
        <v>0</v>
      </c>
    </row>
    <row r="226" ht="23.95" customHeight="1">
      <c r="A226" s="12"/>
      <c r="B226" t="s" s="192">
        <v>1150</v>
      </c>
      <c r="C226" t="s" s="193">
        <v>1151</v>
      </c>
      <c r="D226" s="194">
        <v>0</v>
      </c>
      <c r="E226" s="194">
        <v>2</v>
      </c>
      <c r="F226" s="194">
        <v>0</v>
      </c>
      <c r="G226" s="194">
        <v>0</v>
      </c>
    </row>
    <row r="227" ht="20.05" customHeight="1">
      <c r="A227" s="12"/>
      <c r="B227" t="s" s="192">
        <v>1152</v>
      </c>
      <c r="C227" t="s" s="193">
        <v>1153</v>
      </c>
      <c r="D227" s="194">
        <v>0</v>
      </c>
      <c r="E227" s="194">
        <v>3</v>
      </c>
      <c r="F227" s="194">
        <v>0</v>
      </c>
      <c r="G227" s="194">
        <v>0</v>
      </c>
    </row>
    <row r="228" ht="20.05" customHeight="1">
      <c r="A228" s="12"/>
      <c r="B228" s="13"/>
      <c r="C228" t="s" s="193">
        <v>1154</v>
      </c>
      <c r="D228" s="194">
        <v>0</v>
      </c>
      <c r="E228" s="194">
        <v>3</v>
      </c>
      <c r="F228" s="194">
        <v>0</v>
      </c>
      <c r="G228" s="194">
        <v>0</v>
      </c>
    </row>
    <row r="229" ht="20.05" customHeight="1">
      <c r="A229" s="12"/>
      <c r="B229" s="13"/>
      <c r="C229" t="s" s="193">
        <v>1155</v>
      </c>
      <c r="D229" s="194">
        <v>0</v>
      </c>
      <c r="E229" s="194">
        <v>1</v>
      </c>
      <c r="F229" s="194">
        <v>0</v>
      </c>
      <c r="G229" s="194">
        <v>0</v>
      </c>
    </row>
    <row r="230" ht="20.05" customHeight="1">
      <c r="A230" s="12"/>
      <c r="B230" t="s" s="192">
        <v>1156</v>
      </c>
      <c r="C230" t="s" s="193">
        <v>1157</v>
      </c>
      <c r="D230" s="194">
        <v>0</v>
      </c>
      <c r="E230" t="s" s="195">
        <v>1158</v>
      </c>
      <c r="F230" s="194">
        <v>0</v>
      </c>
      <c r="G230" s="194">
        <v>0</v>
      </c>
    </row>
    <row r="231" ht="20.05" customHeight="1">
      <c r="A231" s="12"/>
      <c r="B231" s="13"/>
      <c r="C231" t="s" s="193">
        <v>1159</v>
      </c>
      <c r="D231" s="194">
        <v>0</v>
      </c>
      <c r="E231" s="179">
        <v>0</v>
      </c>
      <c r="F231" s="194">
        <v>0</v>
      </c>
      <c r="G231" s="194">
        <v>0</v>
      </c>
    </row>
    <row r="232" ht="20.05" customHeight="1">
      <c r="A232" s="12"/>
      <c r="B232" s="13"/>
      <c r="C232" t="s" s="193">
        <v>1160</v>
      </c>
      <c r="D232" s="194">
        <v>0</v>
      </c>
      <c r="E232" s="179">
        <v>0</v>
      </c>
      <c r="F232" s="194">
        <v>0</v>
      </c>
      <c r="G232" s="194">
        <v>0</v>
      </c>
    </row>
    <row r="233" ht="20.05" customHeight="1">
      <c r="A233" s="12"/>
      <c r="B233" s="13"/>
      <c r="C233" t="s" s="193">
        <v>1161</v>
      </c>
      <c r="D233" s="194">
        <v>0</v>
      </c>
      <c r="E233" s="179">
        <v>0</v>
      </c>
      <c r="F233" s="194">
        <v>0</v>
      </c>
      <c r="G233" s="194">
        <v>0</v>
      </c>
    </row>
    <row r="234" ht="20.05" customHeight="1">
      <c r="A234" s="12"/>
      <c r="B234" s="13"/>
      <c r="C234" t="s" s="193">
        <v>1162</v>
      </c>
      <c r="D234" s="194">
        <v>0</v>
      </c>
      <c r="E234" s="179">
        <v>0</v>
      </c>
      <c r="F234" s="194">
        <v>0</v>
      </c>
      <c r="G234" s="194">
        <v>0</v>
      </c>
    </row>
    <row r="235" ht="20.05" customHeight="1">
      <c r="A235" s="12"/>
      <c r="B235" s="13"/>
      <c r="C235" t="s" s="193">
        <v>1163</v>
      </c>
      <c r="D235" s="194">
        <v>0</v>
      </c>
      <c r="E235" s="179">
        <v>0</v>
      </c>
      <c r="F235" s="194">
        <v>0</v>
      </c>
      <c r="G235" s="194">
        <v>0</v>
      </c>
    </row>
    <row r="236" ht="20.05" customHeight="1">
      <c r="A236" s="12"/>
      <c r="B236" s="13"/>
      <c r="C236" t="s" s="193">
        <v>1164</v>
      </c>
      <c r="D236" s="194">
        <v>0</v>
      </c>
      <c r="E236" s="179">
        <v>0</v>
      </c>
      <c r="F236" s="194">
        <v>0</v>
      </c>
      <c r="G236" s="194">
        <v>0</v>
      </c>
    </row>
    <row r="237" ht="20.05" customHeight="1">
      <c r="A237" s="12"/>
      <c r="B237" t="s" s="192">
        <v>1165</v>
      </c>
      <c r="C237" t="s" s="193">
        <v>1166</v>
      </c>
      <c r="D237" s="194">
        <v>0</v>
      </c>
      <c r="E237" s="194">
        <v>2</v>
      </c>
      <c r="F237" s="194">
        <v>0</v>
      </c>
      <c r="G237" s="194">
        <v>0</v>
      </c>
    </row>
    <row r="238" ht="20.05" customHeight="1">
      <c r="A238" s="12"/>
      <c r="B238" s="13"/>
      <c r="C238" t="s" s="193">
        <v>1167</v>
      </c>
      <c r="D238" s="194">
        <v>0</v>
      </c>
      <c r="E238" s="194">
        <v>1</v>
      </c>
      <c r="F238" s="194">
        <v>0</v>
      </c>
      <c r="G238" s="194">
        <v>0</v>
      </c>
    </row>
    <row r="239" ht="20.05" customHeight="1">
      <c r="A239" s="12"/>
      <c r="B239" s="13"/>
      <c r="C239" t="s" s="193">
        <v>1168</v>
      </c>
      <c r="D239" s="194">
        <v>0</v>
      </c>
      <c r="E239" s="194">
        <v>1</v>
      </c>
      <c r="F239" s="194">
        <v>0</v>
      </c>
      <c r="G239" s="194">
        <v>0</v>
      </c>
    </row>
    <row r="240" ht="20.05" customHeight="1">
      <c r="A240" s="12"/>
      <c r="B240" s="13"/>
      <c r="C240" t="s" s="193">
        <v>1169</v>
      </c>
      <c r="D240" s="194">
        <v>0</v>
      </c>
      <c r="E240" s="194">
        <v>2</v>
      </c>
      <c r="F240" s="194">
        <v>0</v>
      </c>
      <c r="G240" s="194">
        <v>0</v>
      </c>
    </row>
    <row r="241" ht="20.05" customHeight="1">
      <c r="A241" s="12"/>
      <c r="B241" s="13"/>
      <c r="C241" t="s" s="193">
        <v>1170</v>
      </c>
      <c r="D241" s="194">
        <v>0</v>
      </c>
      <c r="E241" s="179">
        <v>0</v>
      </c>
      <c r="F241" s="194">
        <v>0</v>
      </c>
      <c r="G241" s="194">
        <v>0</v>
      </c>
    </row>
    <row r="242" ht="20.05" customHeight="1">
      <c r="A242" s="12"/>
      <c r="B242" s="13"/>
      <c r="C242" t="s" s="193">
        <v>1171</v>
      </c>
      <c r="D242" s="194">
        <v>0</v>
      </c>
      <c r="E242" s="179">
        <v>0</v>
      </c>
      <c r="F242" s="194">
        <v>0</v>
      </c>
      <c r="G242" s="194">
        <v>0</v>
      </c>
    </row>
    <row r="243" ht="20.05" customHeight="1">
      <c r="A243" s="12"/>
      <c r="B243" t="s" s="192">
        <v>1172</v>
      </c>
      <c r="C243" t="s" s="193">
        <v>1173</v>
      </c>
      <c r="D243" s="194">
        <v>0</v>
      </c>
      <c r="E243" s="194">
        <v>5</v>
      </c>
      <c r="F243" s="194">
        <v>0</v>
      </c>
      <c r="G243" s="194">
        <v>0</v>
      </c>
    </row>
    <row r="244" ht="20.05" customHeight="1">
      <c r="A244" s="12"/>
      <c r="B244" s="13"/>
      <c r="C244" t="s" s="193">
        <v>1174</v>
      </c>
      <c r="D244" s="194">
        <v>0</v>
      </c>
      <c r="E244" s="194">
        <v>1</v>
      </c>
      <c r="F244" s="194">
        <v>0</v>
      </c>
      <c r="G244" s="194">
        <v>0</v>
      </c>
    </row>
    <row r="245" ht="20.05" customHeight="1">
      <c r="A245" s="12"/>
      <c r="B245" s="13"/>
      <c r="C245" t="s" s="193">
        <v>1175</v>
      </c>
      <c r="D245" s="194">
        <v>0</v>
      </c>
      <c r="E245" s="194">
        <v>2</v>
      </c>
      <c r="F245" s="194">
        <v>0</v>
      </c>
      <c r="G245" s="194">
        <v>0</v>
      </c>
    </row>
    <row r="246" ht="20.05" customHeight="1">
      <c r="A246" t="s" s="26">
        <v>92</v>
      </c>
      <c r="B246" t="s" s="27">
        <v>93</v>
      </c>
      <c r="C246" t="s" s="28">
        <v>816</v>
      </c>
      <c r="D246" s="29">
        <v>1</v>
      </c>
      <c r="E246" s="29">
        <v>5</v>
      </c>
      <c r="F246" s="29">
        <v>1</v>
      </c>
      <c r="G246" s="29">
        <v>1</v>
      </c>
    </row>
    <row r="247" ht="20.05" customHeight="1">
      <c r="A247" s="12"/>
      <c r="B247" s="13"/>
      <c r="C247" t="s" s="28">
        <v>817</v>
      </c>
      <c r="D247" s="29">
        <v>0</v>
      </c>
      <c r="E247" s="29">
        <v>3</v>
      </c>
      <c r="F247" s="29">
        <v>0</v>
      </c>
      <c r="G247" s="29">
        <v>1</v>
      </c>
    </row>
    <row r="248" ht="20.05" customHeight="1">
      <c r="A248" s="12"/>
      <c r="B248" s="13"/>
      <c r="C248" t="s" s="28">
        <v>96</v>
      </c>
      <c r="D248" s="29">
        <v>0</v>
      </c>
      <c r="E248" s="29">
        <v>3</v>
      </c>
      <c r="F248" s="29">
        <v>0</v>
      </c>
      <c r="G248" s="29">
        <v>0</v>
      </c>
    </row>
    <row r="249" ht="20.05" customHeight="1">
      <c r="A249" s="12"/>
      <c r="B249" t="s" s="27">
        <v>821</v>
      </c>
      <c r="C249" t="s" s="28">
        <v>822</v>
      </c>
      <c r="D249" s="29">
        <v>0</v>
      </c>
      <c r="E249" s="29">
        <v>3</v>
      </c>
      <c r="F249" s="29">
        <v>0</v>
      </c>
      <c r="G249" s="29">
        <v>0</v>
      </c>
    </row>
    <row r="250" ht="20.05" customHeight="1">
      <c r="A250" s="12"/>
      <c r="B250" s="13"/>
      <c r="C250" t="s" s="28">
        <v>823</v>
      </c>
      <c r="D250" s="29">
        <v>0</v>
      </c>
      <c r="E250" s="29">
        <v>2</v>
      </c>
      <c r="F250" s="29">
        <v>1</v>
      </c>
      <c r="G250" s="29">
        <v>0</v>
      </c>
    </row>
    <row r="251" ht="20.05" customHeight="1">
      <c r="A251" s="12"/>
      <c r="B251" s="13"/>
      <c r="C251" t="s" s="28">
        <v>601</v>
      </c>
      <c r="D251" s="29">
        <v>1</v>
      </c>
      <c r="E251" s="29">
        <v>14</v>
      </c>
      <c r="F251" s="29">
        <v>1</v>
      </c>
      <c r="G251" s="29">
        <v>1</v>
      </c>
    </row>
    <row r="252" ht="20.05" customHeight="1">
      <c r="A252" s="12"/>
      <c r="B252" s="13"/>
      <c r="C252" t="s" s="28">
        <v>824</v>
      </c>
      <c r="D252" s="29">
        <v>0</v>
      </c>
      <c r="E252" s="29">
        <v>1</v>
      </c>
      <c r="F252" s="29">
        <v>0</v>
      </c>
      <c r="G252" s="29">
        <v>0</v>
      </c>
    </row>
    <row r="253" ht="20.05" customHeight="1">
      <c r="A253" s="12"/>
      <c r="B253" t="s" s="27">
        <v>525</v>
      </c>
      <c r="C253" t="s" s="28">
        <v>526</v>
      </c>
      <c r="D253" s="29">
        <v>0</v>
      </c>
      <c r="E253" s="29">
        <v>2</v>
      </c>
      <c r="F253" s="29">
        <v>0</v>
      </c>
      <c r="G253" s="29">
        <v>0</v>
      </c>
    </row>
    <row r="254" ht="20.05" customHeight="1">
      <c r="A254" s="12"/>
      <c r="B254" s="13"/>
      <c r="C254" t="s" s="28">
        <v>527</v>
      </c>
      <c r="D254" s="29">
        <v>0</v>
      </c>
      <c r="E254" s="29">
        <v>4</v>
      </c>
      <c r="F254" s="29">
        <v>0</v>
      </c>
      <c r="G254" s="29">
        <v>0</v>
      </c>
    </row>
    <row r="255" ht="20.05" customHeight="1">
      <c r="A255" s="12"/>
      <c r="B255" s="13"/>
      <c r="C255" t="s" s="28">
        <v>528</v>
      </c>
      <c r="D255" s="29">
        <v>0</v>
      </c>
      <c r="E255" s="29">
        <v>3</v>
      </c>
      <c r="F255" s="29">
        <v>0</v>
      </c>
      <c r="G255" s="29">
        <v>0</v>
      </c>
    </row>
    <row r="256" ht="20.05" customHeight="1">
      <c r="A256" s="12"/>
      <c r="B256" t="s" s="27">
        <v>522</v>
      </c>
      <c r="C256" t="s" s="28">
        <v>1176</v>
      </c>
      <c r="D256" s="29">
        <v>0</v>
      </c>
      <c r="E256" s="29">
        <v>1</v>
      </c>
      <c r="F256" s="29">
        <v>0</v>
      </c>
      <c r="G256" s="29">
        <v>0</v>
      </c>
    </row>
    <row r="257" ht="20.05" customHeight="1">
      <c r="A257" s="12"/>
      <c r="B257" s="13"/>
      <c r="C257" t="s" s="28">
        <v>524</v>
      </c>
      <c r="D257" s="29">
        <v>0</v>
      </c>
      <c r="E257" s="29">
        <v>2</v>
      </c>
      <c r="F257" s="29">
        <v>0</v>
      </c>
      <c r="G257" s="29">
        <v>0</v>
      </c>
    </row>
    <row r="258" ht="20.05" customHeight="1">
      <c r="A258" s="12"/>
      <c r="B258" s="13"/>
      <c r="C258" t="s" s="28">
        <v>97</v>
      </c>
      <c r="D258" s="29">
        <v>0</v>
      </c>
      <c r="E258" s="29">
        <v>4</v>
      </c>
      <c r="F258" s="29">
        <v>1</v>
      </c>
      <c r="G258" s="29">
        <v>0</v>
      </c>
    </row>
    <row r="259" ht="20.05" customHeight="1">
      <c r="A259" t="s" s="19">
        <v>1177</v>
      </c>
      <c r="B259" t="s" s="171">
        <v>1178</v>
      </c>
      <c r="C259" t="s" s="21">
        <v>1179</v>
      </c>
      <c r="D259" s="22">
        <v>0</v>
      </c>
      <c r="E259" s="196">
        <v>0</v>
      </c>
      <c r="F259" s="22">
        <v>0</v>
      </c>
      <c r="G259" s="22">
        <v>0</v>
      </c>
    </row>
    <row r="260" ht="20.05" customHeight="1">
      <c r="A260" s="12"/>
      <c r="B260" s="13"/>
      <c r="C260" t="s" s="21">
        <v>1180</v>
      </c>
      <c r="D260" s="22">
        <v>0</v>
      </c>
      <c r="E260" s="22">
        <v>1</v>
      </c>
      <c r="F260" s="22">
        <v>0</v>
      </c>
      <c r="G260" s="22">
        <v>0</v>
      </c>
    </row>
    <row r="261" ht="20.05" customHeight="1">
      <c r="A261" s="12"/>
      <c r="B261" t="s" s="171">
        <v>1181</v>
      </c>
      <c r="C261" t="s" s="21">
        <v>1182</v>
      </c>
      <c r="D261" s="22">
        <v>0</v>
      </c>
      <c r="E261" s="196">
        <v>0</v>
      </c>
      <c r="F261" s="22">
        <v>0</v>
      </c>
      <c r="G261" s="22">
        <v>0</v>
      </c>
    </row>
    <row r="262" ht="20.05" customHeight="1">
      <c r="A262" s="12"/>
      <c r="B262" s="13"/>
      <c r="C262" t="s" s="21">
        <v>1183</v>
      </c>
      <c r="D262" s="22">
        <v>0</v>
      </c>
      <c r="E262" s="196">
        <v>0</v>
      </c>
      <c r="F262" s="22">
        <v>0</v>
      </c>
      <c r="G262" s="22">
        <v>0</v>
      </c>
    </row>
    <row r="263" ht="20.05" customHeight="1">
      <c r="A263" s="12"/>
      <c r="B263" t="s" s="171">
        <v>1184</v>
      </c>
      <c r="C263" t="s" s="21">
        <v>1185</v>
      </c>
      <c r="D263" s="22">
        <v>0</v>
      </c>
      <c r="E263" s="22">
        <v>2</v>
      </c>
      <c r="F263" s="22">
        <v>0</v>
      </c>
      <c r="G263" s="22">
        <v>0</v>
      </c>
    </row>
    <row r="264" ht="20.05" customHeight="1">
      <c r="A264" s="12"/>
      <c r="B264" s="13"/>
      <c r="C264" t="s" s="21">
        <v>1186</v>
      </c>
      <c r="D264" s="22">
        <v>0</v>
      </c>
      <c r="E264" s="22">
        <v>1</v>
      </c>
      <c r="F264" s="22">
        <v>0</v>
      </c>
      <c r="G264" s="22">
        <v>0</v>
      </c>
    </row>
    <row r="265" ht="20.05" customHeight="1">
      <c r="A265" s="12"/>
      <c r="B265" t="s" s="171">
        <v>1187</v>
      </c>
      <c r="C265" t="s" s="21">
        <v>91</v>
      </c>
      <c r="D265" s="22">
        <v>0</v>
      </c>
      <c r="E265" s="22">
        <v>2</v>
      </c>
      <c r="F265" s="22">
        <v>0</v>
      </c>
      <c r="G265" s="22">
        <v>0</v>
      </c>
    </row>
    <row r="266" ht="20.05" customHeight="1">
      <c r="A266" s="12"/>
      <c r="B266" s="13"/>
      <c r="C266" t="s" s="21">
        <v>892</v>
      </c>
      <c r="D266" s="22">
        <v>0</v>
      </c>
      <c r="E266" s="196">
        <v>0</v>
      </c>
      <c r="F266" s="22">
        <v>0</v>
      </c>
      <c r="G266" s="22">
        <v>0</v>
      </c>
    </row>
    <row r="267" ht="20.05" customHeight="1">
      <c r="A267" s="12"/>
      <c r="B267" s="13"/>
      <c r="C267" t="s" s="21">
        <v>1188</v>
      </c>
      <c r="D267" s="22">
        <v>0</v>
      </c>
      <c r="E267" s="196">
        <v>0</v>
      </c>
      <c r="F267" s="22">
        <v>0</v>
      </c>
      <c r="G267" s="22">
        <v>0</v>
      </c>
    </row>
    <row r="268" ht="20.05" customHeight="1">
      <c r="A268" s="12"/>
      <c r="B268" s="13"/>
      <c r="C268" t="s" s="21">
        <v>1189</v>
      </c>
      <c r="D268" s="22">
        <v>0</v>
      </c>
      <c r="E268" s="196">
        <v>0</v>
      </c>
      <c r="F268" s="22">
        <v>0</v>
      </c>
      <c r="G268" s="22">
        <v>0</v>
      </c>
    </row>
    <row r="269" ht="20.05" customHeight="1">
      <c r="A269" s="12"/>
      <c r="B269" s="13"/>
      <c r="C269" t="s" s="21">
        <v>1190</v>
      </c>
      <c r="D269" s="22">
        <v>0</v>
      </c>
      <c r="E269" s="196">
        <v>0</v>
      </c>
      <c r="F269" s="22">
        <v>0</v>
      </c>
      <c r="G269" s="22">
        <v>0</v>
      </c>
    </row>
    <row r="270" ht="20.05" customHeight="1">
      <c r="A270" s="12"/>
      <c r="B270" s="13"/>
      <c r="C270" t="s" s="21">
        <v>1191</v>
      </c>
      <c r="D270" s="22">
        <v>0</v>
      </c>
      <c r="E270" s="196">
        <v>0</v>
      </c>
      <c r="F270" s="22">
        <v>0</v>
      </c>
      <c r="G270" s="22">
        <v>0</v>
      </c>
    </row>
    <row r="271" ht="20.05" customHeight="1">
      <c r="A271" s="12"/>
      <c r="B271" t="s" s="171">
        <v>1192</v>
      </c>
      <c r="C271" t="s" s="21">
        <v>1193</v>
      </c>
      <c r="D271" s="22">
        <v>0</v>
      </c>
      <c r="E271" s="196">
        <v>0</v>
      </c>
      <c r="F271" s="22">
        <v>0</v>
      </c>
      <c r="G271" s="22">
        <v>0</v>
      </c>
    </row>
    <row r="272" ht="20.05" customHeight="1">
      <c r="A272" s="12"/>
      <c r="B272" s="13"/>
      <c r="C272" t="s" s="21">
        <v>1194</v>
      </c>
      <c r="D272" s="22">
        <v>0</v>
      </c>
      <c r="E272" s="196">
        <v>0</v>
      </c>
      <c r="F272" s="22">
        <v>0</v>
      </c>
      <c r="G272" s="22">
        <v>0</v>
      </c>
    </row>
    <row r="273" ht="20.05" customHeight="1">
      <c r="A273" s="12"/>
      <c r="B273" s="13"/>
      <c r="C273" t="s" s="21">
        <v>1195</v>
      </c>
      <c r="D273" s="22">
        <v>0</v>
      </c>
      <c r="E273" s="196">
        <v>0</v>
      </c>
      <c r="F273" s="22">
        <v>0</v>
      </c>
      <c r="G273" s="22">
        <v>0</v>
      </c>
    </row>
    <row r="274" ht="20.05" customHeight="1">
      <c r="A274" s="12"/>
      <c r="B274" s="13"/>
      <c r="C274" t="s" s="21">
        <v>1196</v>
      </c>
      <c r="D274" s="22">
        <v>0</v>
      </c>
      <c r="E274" s="22">
        <v>2</v>
      </c>
      <c r="F274" s="22">
        <v>0</v>
      </c>
      <c r="G274" s="22">
        <v>0</v>
      </c>
    </row>
    <row r="275" ht="20.05" customHeight="1">
      <c r="A275" t="s" s="40">
        <v>1197</v>
      </c>
      <c r="B275" t="s" s="197">
        <v>542</v>
      </c>
      <c r="C275" t="s" s="42">
        <v>393</v>
      </c>
      <c r="D275" s="43">
        <v>1</v>
      </c>
      <c r="E275" s="43">
        <v>3</v>
      </c>
      <c r="F275" s="43">
        <v>0</v>
      </c>
      <c r="G275" s="43">
        <v>0</v>
      </c>
    </row>
    <row r="276" ht="32.05" customHeight="1">
      <c r="A276" s="12"/>
      <c r="B276" s="13"/>
      <c r="C276" t="s" s="42">
        <v>394</v>
      </c>
      <c r="D276" s="43">
        <v>0</v>
      </c>
      <c r="E276" s="43">
        <v>4</v>
      </c>
      <c r="F276" s="43">
        <v>0</v>
      </c>
      <c r="G276" s="43">
        <v>0</v>
      </c>
    </row>
    <row r="277" ht="20.05" customHeight="1">
      <c r="A277" s="12"/>
      <c r="B277" s="13"/>
      <c r="C277" t="s" s="42">
        <v>1198</v>
      </c>
      <c r="D277" s="43">
        <v>0</v>
      </c>
      <c r="E277" s="43">
        <v>1</v>
      </c>
      <c r="F277" s="43">
        <v>0</v>
      </c>
      <c r="G277" s="43">
        <v>0</v>
      </c>
    </row>
    <row r="278" ht="20.05" customHeight="1">
      <c r="A278" s="12"/>
      <c r="B278" s="13"/>
      <c r="C278" t="s" s="42">
        <v>1199</v>
      </c>
      <c r="D278" s="43">
        <v>0</v>
      </c>
      <c r="E278" s="43">
        <v>2</v>
      </c>
      <c r="F278" s="43">
        <v>0</v>
      </c>
      <c r="G278" s="43">
        <v>0</v>
      </c>
    </row>
    <row r="279" ht="20.05" customHeight="1">
      <c r="A279" s="12"/>
      <c r="B279" s="13"/>
      <c r="C279" t="s" s="42">
        <v>1200</v>
      </c>
      <c r="D279" s="43">
        <v>0</v>
      </c>
      <c r="E279" s="43">
        <v>0</v>
      </c>
      <c r="F279" s="43">
        <v>0</v>
      </c>
      <c r="G279" s="43">
        <v>0</v>
      </c>
    </row>
    <row r="280" ht="20.05" customHeight="1">
      <c r="A280" s="12"/>
      <c r="B280" s="13"/>
      <c r="C280" t="s" s="42">
        <v>1201</v>
      </c>
      <c r="D280" s="43">
        <v>0</v>
      </c>
      <c r="E280" s="43">
        <v>0</v>
      </c>
      <c r="F280" s="43">
        <v>0</v>
      </c>
      <c r="G280" s="43">
        <v>0</v>
      </c>
    </row>
    <row r="281" ht="20.05" customHeight="1">
      <c r="A281" s="12"/>
      <c r="B281" t="s" s="197">
        <v>1202</v>
      </c>
      <c r="C281" t="s" s="42">
        <v>1203</v>
      </c>
      <c r="D281" s="43">
        <v>0</v>
      </c>
      <c r="E281" s="43">
        <v>1</v>
      </c>
      <c r="F281" s="43">
        <v>0</v>
      </c>
      <c r="G281" s="43">
        <v>0</v>
      </c>
    </row>
    <row r="282" ht="20.05" customHeight="1">
      <c r="A282" s="12"/>
      <c r="B282" s="13"/>
      <c r="C282" t="s" s="42">
        <v>1204</v>
      </c>
      <c r="D282" s="43">
        <v>0</v>
      </c>
      <c r="E282" s="43">
        <v>1</v>
      </c>
      <c r="F282" s="43">
        <v>0</v>
      </c>
      <c r="G282" s="43">
        <v>0</v>
      </c>
    </row>
    <row r="283" ht="20.05" customHeight="1">
      <c r="A283" s="12"/>
      <c r="B283" s="13"/>
      <c r="C283" t="s" s="42">
        <v>1205</v>
      </c>
      <c r="D283" s="43">
        <v>0</v>
      </c>
      <c r="E283" s="43">
        <v>1</v>
      </c>
      <c r="F283" s="43">
        <v>0</v>
      </c>
      <c r="G283" s="43">
        <v>0</v>
      </c>
    </row>
    <row r="284" ht="20.05" customHeight="1">
      <c r="A284" s="12"/>
      <c r="B284" s="13"/>
      <c r="C284" t="s" s="42">
        <v>1206</v>
      </c>
      <c r="D284" s="43">
        <v>0</v>
      </c>
      <c r="E284" s="43">
        <v>1</v>
      </c>
      <c r="F284" s="43">
        <v>0</v>
      </c>
      <c r="G284" s="43">
        <v>0</v>
      </c>
    </row>
    <row r="285" ht="20.05" customHeight="1">
      <c r="A285" s="12"/>
      <c r="B285" s="13"/>
      <c r="C285" t="s" s="42">
        <v>1207</v>
      </c>
      <c r="D285" s="43">
        <v>0</v>
      </c>
      <c r="E285" s="43">
        <v>5</v>
      </c>
      <c r="F285" s="43">
        <v>0</v>
      </c>
      <c r="G285" s="43">
        <v>0</v>
      </c>
    </row>
    <row r="286" ht="20.05" customHeight="1">
      <c r="A286" s="12"/>
      <c r="B286" s="13"/>
      <c r="C286" t="s" s="42">
        <v>1208</v>
      </c>
      <c r="D286" s="43">
        <v>0</v>
      </c>
      <c r="E286" s="179">
        <v>0</v>
      </c>
      <c r="F286" s="43">
        <v>0</v>
      </c>
      <c r="G286" s="43">
        <v>0</v>
      </c>
    </row>
    <row r="287" ht="20.05" customHeight="1">
      <c r="A287" s="12"/>
      <c r="B287" s="13"/>
      <c r="C287" t="s" s="42">
        <v>1209</v>
      </c>
      <c r="D287" s="43">
        <v>0</v>
      </c>
      <c r="E287" s="179">
        <v>0</v>
      </c>
      <c r="F287" s="43">
        <v>0</v>
      </c>
      <c r="G287" s="43">
        <v>0</v>
      </c>
    </row>
    <row r="288" ht="20.05" customHeight="1">
      <c r="A288" s="12"/>
      <c r="B288" t="s" s="197">
        <v>1210</v>
      </c>
      <c r="C288" t="s" s="42">
        <v>1211</v>
      </c>
      <c r="D288" s="43">
        <v>0</v>
      </c>
      <c r="E288" s="179">
        <v>0</v>
      </c>
      <c r="F288" s="43">
        <v>0</v>
      </c>
      <c r="G288" s="43">
        <v>0</v>
      </c>
    </row>
    <row r="289" ht="20.05" customHeight="1">
      <c r="A289" s="12"/>
      <c r="B289" s="13"/>
      <c r="C289" t="s" s="42">
        <v>1212</v>
      </c>
      <c r="D289" s="43">
        <v>0</v>
      </c>
      <c r="E289" s="43">
        <v>2</v>
      </c>
      <c r="F289" s="43">
        <v>0</v>
      </c>
      <c r="G289" s="43">
        <v>0</v>
      </c>
    </row>
    <row r="290" ht="20.05" customHeight="1">
      <c r="A290" s="12"/>
      <c r="B290" s="13"/>
      <c r="C290" t="s" s="42">
        <v>1213</v>
      </c>
      <c r="D290" s="43">
        <v>0</v>
      </c>
      <c r="E290" s="43">
        <v>2</v>
      </c>
      <c r="F290" s="43">
        <v>0</v>
      </c>
      <c r="G290" s="43">
        <v>0</v>
      </c>
    </row>
    <row r="291" ht="20.05" customHeight="1">
      <c r="A291" s="12"/>
      <c r="B291" s="13"/>
      <c r="C291" t="s" s="42">
        <v>1214</v>
      </c>
      <c r="D291" s="43">
        <v>0</v>
      </c>
      <c r="E291" s="179">
        <v>0</v>
      </c>
      <c r="F291" s="43">
        <v>0</v>
      </c>
      <c r="G291" s="43">
        <v>0</v>
      </c>
    </row>
    <row r="292" ht="20.05" customHeight="1">
      <c r="A292" s="12"/>
      <c r="B292" s="13"/>
      <c r="C292" t="s" s="42">
        <v>1215</v>
      </c>
      <c r="D292" s="43">
        <v>0</v>
      </c>
      <c r="E292" s="43">
        <v>1</v>
      </c>
      <c r="F292" s="43">
        <v>0</v>
      </c>
      <c r="G292" s="43">
        <v>0</v>
      </c>
    </row>
    <row r="293" ht="20.05" customHeight="1">
      <c r="A293" s="12"/>
      <c r="B293" s="13"/>
      <c r="C293" t="s" s="42">
        <v>1216</v>
      </c>
      <c r="D293" s="43">
        <v>0</v>
      </c>
      <c r="E293" s="43">
        <v>7</v>
      </c>
      <c r="F293" s="43">
        <v>0</v>
      </c>
      <c r="G293" s="43">
        <v>0</v>
      </c>
    </row>
    <row r="294" ht="20.05" customHeight="1">
      <c r="A294" s="12"/>
      <c r="B294" s="13"/>
      <c r="C294" t="s" s="42">
        <v>1217</v>
      </c>
      <c r="D294" s="43">
        <v>0</v>
      </c>
      <c r="E294" s="179">
        <v>0</v>
      </c>
      <c r="F294" s="43">
        <v>0</v>
      </c>
      <c r="G294" s="43">
        <v>0</v>
      </c>
    </row>
    <row r="295" ht="20.05" customHeight="1">
      <c r="A295" t="s" s="148">
        <v>497</v>
      </c>
      <c r="B295" t="s" s="198">
        <v>1218</v>
      </c>
      <c r="C295" t="s" s="24">
        <v>1219</v>
      </c>
      <c r="D295" s="25">
        <v>0</v>
      </c>
      <c r="E295" s="25">
        <v>2</v>
      </c>
      <c r="F295" s="25">
        <v>0</v>
      </c>
      <c r="G295" s="25">
        <v>0</v>
      </c>
    </row>
    <row r="296" ht="20.05" customHeight="1">
      <c r="A296" s="12"/>
      <c r="B296" s="13"/>
      <c r="C296" t="s" s="24">
        <v>1220</v>
      </c>
      <c r="D296" s="25">
        <v>0</v>
      </c>
      <c r="E296" s="179">
        <v>0</v>
      </c>
      <c r="F296" s="25">
        <v>0</v>
      </c>
      <c r="G296" s="25">
        <v>0</v>
      </c>
    </row>
    <row r="297" ht="20.05" customHeight="1">
      <c r="A297" s="12"/>
      <c r="B297" s="13"/>
      <c r="C297" t="s" s="24">
        <v>1221</v>
      </c>
      <c r="D297" s="25">
        <v>0</v>
      </c>
      <c r="E297" s="25">
        <v>2</v>
      </c>
      <c r="F297" s="25">
        <v>0</v>
      </c>
      <c r="G297" s="25">
        <v>0</v>
      </c>
    </row>
    <row r="298" ht="20.05" customHeight="1">
      <c r="A298" s="12"/>
      <c r="B298" s="13"/>
      <c r="C298" t="s" s="24">
        <v>1222</v>
      </c>
      <c r="D298" s="25">
        <v>0</v>
      </c>
      <c r="E298" s="179">
        <v>0</v>
      </c>
      <c r="F298" s="25">
        <v>0</v>
      </c>
      <c r="G298" s="25">
        <v>0</v>
      </c>
    </row>
    <row r="299" ht="20.05" customHeight="1">
      <c r="A299" s="12"/>
      <c r="B299" s="13"/>
      <c r="C299" t="s" s="24">
        <v>1223</v>
      </c>
      <c r="D299" s="25">
        <v>0</v>
      </c>
      <c r="E299" s="179">
        <v>0</v>
      </c>
      <c r="F299" s="25">
        <v>0</v>
      </c>
      <c r="G299" s="25">
        <v>0</v>
      </c>
    </row>
    <row r="300" ht="20.05" customHeight="1">
      <c r="A300" s="12"/>
      <c r="B300" s="13"/>
      <c r="C300" t="s" s="24">
        <v>1224</v>
      </c>
      <c r="D300" s="25">
        <v>0</v>
      </c>
      <c r="E300" s="179">
        <v>0</v>
      </c>
      <c r="F300" s="25">
        <v>0</v>
      </c>
      <c r="G300" s="25">
        <v>0</v>
      </c>
    </row>
    <row r="301" ht="20.05" customHeight="1">
      <c r="A301" s="12"/>
      <c r="B301" s="13"/>
      <c r="C301" t="s" s="24">
        <v>1225</v>
      </c>
      <c r="D301" s="25">
        <v>0</v>
      </c>
      <c r="E301" s="25">
        <v>2</v>
      </c>
      <c r="F301" s="25">
        <v>0</v>
      </c>
      <c r="G301" s="25">
        <v>0</v>
      </c>
    </row>
    <row r="302" ht="20.05" customHeight="1">
      <c r="A302" s="12"/>
      <c r="B302" t="s" s="198">
        <v>498</v>
      </c>
      <c r="C302" t="s" s="24">
        <v>499</v>
      </c>
      <c r="D302" s="25">
        <v>0</v>
      </c>
      <c r="E302" s="25">
        <v>2</v>
      </c>
      <c r="F302" s="25">
        <v>0</v>
      </c>
      <c r="G302" s="25">
        <v>0</v>
      </c>
    </row>
    <row r="303" ht="20.05" customHeight="1">
      <c r="A303" s="12"/>
      <c r="B303" s="13"/>
      <c r="C303" t="s" s="24">
        <v>500</v>
      </c>
      <c r="D303" s="25">
        <v>0</v>
      </c>
      <c r="E303" s="25">
        <v>3</v>
      </c>
      <c r="F303" s="25">
        <v>0</v>
      </c>
      <c r="G303" s="25">
        <v>0</v>
      </c>
    </row>
    <row r="304" ht="20.05" customHeight="1">
      <c r="A304" s="12"/>
      <c r="B304" s="13"/>
      <c r="C304" t="s" s="24">
        <v>501</v>
      </c>
      <c r="D304" s="25">
        <v>0</v>
      </c>
      <c r="E304" s="25">
        <v>2</v>
      </c>
      <c r="F304" s="25">
        <v>0</v>
      </c>
      <c r="G304" s="25">
        <v>0</v>
      </c>
    </row>
    <row r="305" ht="20.05" customHeight="1">
      <c r="A305" s="12"/>
      <c r="B305" s="13"/>
      <c r="C305" t="s" s="24">
        <v>502</v>
      </c>
      <c r="D305" s="25">
        <v>0</v>
      </c>
      <c r="E305" s="25">
        <v>2</v>
      </c>
      <c r="F305" s="25">
        <v>0</v>
      </c>
      <c r="G305" s="25">
        <v>0</v>
      </c>
    </row>
    <row r="306" ht="20.05" customHeight="1">
      <c r="A306" s="12"/>
      <c r="B306" s="13"/>
      <c r="C306" t="s" s="24">
        <v>503</v>
      </c>
      <c r="D306" s="25">
        <v>0</v>
      </c>
      <c r="E306" s="25">
        <v>1</v>
      </c>
      <c r="F306" s="25">
        <v>0</v>
      </c>
      <c r="G306" s="25">
        <v>0</v>
      </c>
    </row>
    <row r="307" ht="20.05" customHeight="1">
      <c r="A307" s="12"/>
      <c r="B307" s="13"/>
      <c r="C307" t="s" s="24">
        <v>504</v>
      </c>
      <c r="D307" s="25">
        <v>0</v>
      </c>
      <c r="E307" s="25">
        <v>1</v>
      </c>
      <c r="F307" s="25">
        <v>0</v>
      </c>
      <c r="G307" s="25">
        <v>0</v>
      </c>
    </row>
    <row r="308" ht="20.05" customHeight="1">
      <c r="A308" s="12"/>
      <c r="B308" t="s" s="198">
        <v>1226</v>
      </c>
      <c r="C308" t="s" s="24">
        <v>1227</v>
      </c>
      <c r="D308" s="25">
        <v>0</v>
      </c>
      <c r="E308" s="179">
        <v>0</v>
      </c>
      <c r="F308" s="25">
        <v>0</v>
      </c>
      <c r="G308" s="25">
        <v>0</v>
      </c>
    </row>
    <row r="309" ht="20.05" customHeight="1">
      <c r="A309" s="12"/>
      <c r="B309" s="13"/>
      <c r="C309" t="s" s="24">
        <v>1228</v>
      </c>
      <c r="D309" s="25">
        <v>0</v>
      </c>
      <c r="E309" s="179">
        <v>0</v>
      </c>
      <c r="F309" s="25">
        <v>0</v>
      </c>
      <c r="G309" s="25">
        <v>0</v>
      </c>
    </row>
    <row r="310" ht="20.05" customHeight="1">
      <c r="A310" s="12"/>
      <c r="B310" s="13"/>
      <c r="C310" t="s" s="24">
        <v>1229</v>
      </c>
      <c r="D310" s="25">
        <v>0</v>
      </c>
      <c r="E310" s="179">
        <v>0</v>
      </c>
      <c r="F310" s="25">
        <v>0</v>
      </c>
      <c r="G310" s="25">
        <v>0</v>
      </c>
    </row>
    <row r="311" ht="20.05" customHeight="1">
      <c r="A311" s="12"/>
      <c r="B311" s="13"/>
      <c r="C311" t="s" s="24">
        <v>1230</v>
      </c>
      <c r="D311" s="25">
        <v>0</v>
      </c>
      <c r="E311" s="25">
        <v>1</v>
      </c>
      <c r="F311" s="25">
        <v>0</v>
      </c>
      <c r="G311" s="25">
        <v>0</v>
      </c>
    </row>
    <row r="312" ht="20.05" customHeight="1">
      <c r="A312" s="12"/>
      <c r="B312" t="s" s="198">
        <v>1231</v>
      </c>
      <c r="C312" t="s" s="24">
        <v>1232</v>
      </c>
      <c r="D312" s="25">
        <v>0</v>
      </c>
      <c r="E312" s="179">
        <v>0</v>
      </c>
      <c r="F312" s="25">
        <v>0</v>
      </c>
      <c r="G312" s="25">
        <v>0</v>
      </c>
    </row>
    <row r="313" ht="20.05" customHeight="1">
      <c r="A313" s="12"/>
      <c r="B313" s="13"/>
      <c r="C313" t="s" s="24">
        <v>1233</v>
      </c>
      <c r="D313" s="25">
        <v>0</v>
      </c>
      <c r="E313" s="179">
        <v>0</v>
      </c>
      <c r="F313" s="25">
        <v>0</v>
      </c>
      <c r="G313" s="25">
        <v>0</v>
      </c>
    </row>
    <row r="314" ht="20.05" customHeight="1">
      <c r="A314" s="12"/>
      <c r="B314" s="13"/>
      <c r="C314" t="s" s="24">
        <v>1234</v>
      </c>
      <c r="D314" s="25">
        <v>0</v>
      </c>
      <c r="E314" s="179">
        <v>0</v>
      </c>
      <c r="F314" s="25">
        <v>0</v>
      </c>
      <c r="G314" s="25">
        <v>0</v>
      </c>
    </row>
    <row r="315" ht="20.05" customHeight="1">
      <c r="A315" s="12"/>
      <c r="B315" t="s" s="198">
        <v>1235</v>
      </c>
      <c r="C315" t="s" s="24">
        <v>1236</v>
      </c>
      <c r="D315" s="25">
        <v>0</v>
      </c>
      <c r="E315" s="179">
        <v>0</v>
      </c>
      <c r="F315" s="25">
        <v>0</v>
      </c>
      <c r="G315" s="25">
        <v>0</v>
      </c>
    </row>
    <row r="316" ht="20.05" customHeight="1">
      <c r="A316" s="12"/>
      <c r="B316" s="13"/>
      <c r="C316" t="s" s="24">
        <v>1237</v>
      </c>
      <c r="D316" s="25">
        <v>0</v>
      </c>
      <c r="E316" s="179">
        <v>0</v>
      </c>
      <c r="F316" s="25">
        <v>0</v>
      </c>
      <c r="G316" s="25">
        <v>0</v>
      </c>
    </row>
    <row r="317" ht="20.05" customHeight="1">
      <c r="A317" s="12"/>
      <c r="B317" s="13"/>
      <c r="C317" t="s" s="24">
        <v>1238</v>
      </c>
      <c r="D317" s="25">
        <v>0</v>
      </c>
      <c r="E317" s="179">
        <v>0</v>
      </c>
      <c r="F317" s="25">
        <v>0</v>
      </c>
      <c r="G317" s="25">
        <v>0</v>
      </c>
    </row>
    <row r="318" ht="20.05" customHeight="1">
      <c r="A318" s="12"/>
      <c r="B318" s="13"/>
      <c r="C318" t="s" s="24">
        <v>1239</v>
      </c>
      <c r="D318" s="25">
        <v>0</v>
      </c>
      <c r="E318" s="179">
        <v>0</v>
      </c>
      <c r="F318" s="25">
        <v>0</v>
      </c>
      <c r="G318" s="25">
        <v>0</v>
      </c>
    </row>
    <row r="319" ht="20.05" customHeight="1">
      <c r="A319" s="12"/>
      <c r="B319" s="13"/>
      <c r="C319" t="s" s="24">
        <v>1240</v>
      </c>
      <c r="D319" s="25">
        <v>0</v>
      </c>
      <c r="E319" s="25">
        <v>1</v>
      </c>
      <c r="F319" s="25">
        <v>0</v>
      </c>
      <c r="G319" s="25">
        <v>0</v>
      </c>
    </row>
    <row r="320" ht="20.05" customHeight="1">
      <c r="A320" s="12"/>
      <c r="B320" s="13"/>
      <c r="C320" t="s" s="24">
        <v>1241</v>
      </c>
      <c r="D320" s="25">
        <v>0</v>
      </c>
      <c r="E320" s="179">
        <v>0</v>
      </c>
      <c r="F320" s="25">
        <v>0</v>
      </c>
      <c r="G320" s="25">
        <v>0</v>
      </c>
    </row>
    <row r="321" ht="20.05" customHeight="1">
      <c r="A321" s="12"/>
      <c r="B321" s="13"/>
      <c r="C321" t="s" s="24">
        <v>1196</v>
      </c>
      <c r="D321" s="25">
        <v>0</v>
      </c>
      <c r="E321" s="25">
        <v>2</v>
      </c>
      <c r="F321" s="25">
        <v>0</v>
      </c>
      <c r="G321" s="25">
        <v>0</v>
      </c>
    </row>
    <row r="322" ht="20.05" customHeight="1">
      <c r="A322" s="12"/>
      <c r="B322" t="s" s="198">
        <v>1242</v>
      </c>
      <c r="C322" t="s" s="24">
        <v>1243</v>
      </c>
      <c r="D322" s="25">
        <v>0</v>
      </c>
      <c r="E322" s="179">
        <v>0</v>
      </c>
      <c r="F322" s="25">
        <v>0</v>
      </c>
      <c r="G322" s="25">
        <v>0</v>
      </c>
    </row>
    <row r="323" ht="20.05" customHeight="1">
      <c r="A323" s="12"/>
      <c r="B323" s="13"/>
      <c r="C323" t="s" s="24">
        <v>1244</v>
      </c>
      <c r="D323" s="25">
        <v>0</v>
      </c>
      <c r="E323" s="25">
        <v>1</v>
      </c>
      <c r="F323" s="25">
        <v>0</v>
      </c>
      <c r="G323" s="25">
        <v>0</v>
      </c>
    </row>
    <row r="324" ht="20.05" customHeight="1">
      <c r="A324" s="12"/>
      <c r="B324" s="13"/>
      <c r="C324" t="s" s="24">
        <v>1245</v>
      </c>
      <c r="D324" s="25">
        <v>0</v>
      </c>
      <c r="E324" s="179">
        <v>0</v>
      </c>
      <c r="F324" s="25">
        <v>0</v>
      </c>
      <c r="G324" s="25">
        <v>0</v>
      </c>
    </row>
    <row r="325" ht="20.05" customHeight="1">
      <c r="A325" t="s" s="30">
        <v>77</v>
      </c>
      <c r="B325" t="s" s="31">
        <v>78</v>
      </c>
      <c r="C325" t="s" s="32">
        <v>79</v>
      </c>
      <c r="D325" s="33">
        <v>0</v>
      </c>
      <c r="E325" s="33">
        <v>11</v>
      </c>
      <c r="F325" s="33">
        <v>0</v>
      </c>
      <c r="G325" s="33">
        <v>0</v>
      </c>
    </row>
    <row r="326" ht="20.05" customHeight="1">
      <c r="A326" s="12"/>
      <c r="B326" s="13"/>
      <c r="C326" t="s" s="32">
        <v>80</v>
      </c>
      <c r="D326" s="33">
        <v>0</v>
      </c>
      <c r="E326" s="33">
        <v>1</v>
      </c>
      <c r="F326" s="33">
        <v>0</v>
      </c>
      <c r="G326" s="33">
        <v>0</v>
      </c>
    </row>
    <row r="327" ht="20.05" customHeight="1">
      <c r="A327" s="12"/>
      <c r="B327" s="13"/>
      <c r="C327" t="s" s="32">
        <v>81</v>
      </c>
      <c r="D327" s="33">
        <v>0</v>
      </c>
      <c r="E327" s="33">
        <v>18</v>
      </c>
      <c r="F327" s="33">
        <v>0</v>
      </c>
      <c r="G327" s="33">
        <v>0</v>
      </c>
    </row>
    <row r="328" ht="32.05" customHeight="1">
      <c r="A328" s="12"/>
      <c r="B328" t="s" s="31">
        <v>82</v>
      </c>
      <c r="C328" t="s" s="32">
        <v>83</v>
      </c>
      <c r="D328" s="33">
        <v>0</v>
      </c>
      <c r="E328" s="33">
        <v>2</v>
      </c>
      <c r="F328" s="33">
        <v>0</v>
      </c>
      <c r="G328" s="33">
        <v>0</v>
      </c>
    </row>
    <row r="329" ht="20.05" customHeight="1">
      <c r="A329" s="12"/>
      <c r="B329" t="s" s="31">
        <v>84</v>
      </c>
      <c r="C329" t="s" s="32">
        <v>85</v>
      </c>
      <c r="D329" s="33">
        <v>0</v>
      </c>
      <c r="E329" s="33">
        <v>2</v>
      </c>
      <c r="F329" s="33">
        <v>0</v>
      </c>
      <c r="G329" s="33">
        <v>0</v>
      </c>
    </row>
    <row r="330" ht="20.05" customHeight="1">
      <c r="A330" s="12"/>
      <c r="B330" s="13"/>
      <c r="C330" t="s" s="32">
        <v>86</v>
      </c>
      <c r="D330" s="33">
        <v>0</v>
      </c>
      <c r="E330" s="33">
        <v>3</v>
      </c>
      <c r="F330" s="33">
        <v>0</v>
      </c>
      <c r="G330" s="33">
        <v>0</v>
      </c>
    </row>
    <row r="331" ht="20.05" customHeight="1">
      <c r="A331" s="12"/>
      <c r="B331" s="13"/>
      <c r="C331" t="s" s="32">
        <v>87</v>
      </c>
      <c r="D331" s="33">
        <v>0</v>
      </c>
      <c r="E331" s="33">
        <v>2</v>
      </c>
      <c r="F331" s="33">
        <v>0</v>
      </c>
      <c r="G331" s="33">
        <v>0</v>
      </c>
    </row>
    <row r="332" ht="20.05" customHeight="1">
      <c r="A332" s="12"/>
      <c r="B332" s="13"/>
      <c r="C332" t="s" s="32">
        <v>88</v>
      </c>
      <c r="D332" s="33">
        <v>0</v>
      </c>
      <c r="E332" s="33">
        <v>2</v>
      </c>
      <c r="F332" s="33">
        <v>0</v>
      </c>
      <c r="G332" s="33">
        <v>0</v>
      </c>
    </row>
    <row r="333" ht="20.05" customHeight="1">
      <c r="A333" s="12"/>
      <c r="B333" t="s" s="31">
        <v>89</v>
      </c>
      <c r="C333" t="s" s="32">
        <v>90</v>
      </c>
      <c r="D333" s="33">
        <v>0</v>
      </c>
      <c r="E333" s="33">
        <v>4</v>
      </c>
      <c r="F333" s="33">
        <v>0</v>
      </c>
      <c r="G333" s="33">
        <v>0</v>
      </c>
    </row>
    <row r="334" ht="20.05" customHeight="1">
      <c r="A334" s="12"/>
      <c r="B334" s="13"/>
      <c r="C334" t="s" s="32">
        <v>91</v>
      </c>
      <c r="D334" s="33">
        <v>0</v>
      </c>
      <c r="E334" s="33">
        <v>2</v>
      </c>
      <c r="F334" s="33">
        <v>0</v>
      </c>
      <c r="G334" s="33">
        <v>0</v>
      </c>
    </row>
    <row r="335" ht="30.8" customHeight="1">
      <c r="A335" t="s" s="70">
        <v>448</v>
      </c>
      <c r="B335" s="199"/>
      <c r="C335" s="14"/>
      <c r="D335" s="71"/>
      <c r="E335" s="71"/>
      <c r="F335" s="71"/>
      <c r="G335" s="71"/>
    </row>
    <row r="337" ht="31.55" customHeight="1">
      <c r="H337" t="s" s="73">
        <v>1246</v>
      </c>
      <c r="I337" s="73"/>
      <c r="J337" s="73"/>
      <c r="K337" s="73"/>
      <c r="L337" s="73"/>
      <c r="M337" s="73"/>
      <c r="N337" s="73"/>
    </row>
    <row r="338" ht="44.25" customHeight="1">
      <c r="H338" s="4"/>
      <c r="I338" t="s" s="74">
        <v>2</v>
      </c>
      <c r="J338" t="s" s="74">
        <v>3</v>
      </c>
      <c r="K338" t="s" s="74">
        <v>4</v>
      </c>
      <c r="L338" t="s" s="74">
        <v>794</v>
      </c>
      <c r="M338" t="s" s="74">
        <v>451</v>
      </c>
      <c r="N338" t="s" s="74">
        <v>8</v>
      </c>
    </row>
    <row r="339" ht="20.25" customHeight="1">
      <c r="H339" t="s" s="75">
        <v>9</v>
      </c>
      <c r="I339" s="76">
        <v>6</v>
      </c>
      <c r="J339" s="77">
        <v>37</v>
      </c>
      <c r="K339" s="77">
        <v>18</v>
      </c>
      <c r="L339" s="77">
        <f>SUM(E4:E40)</f>
        <v>204</v>
      </c>
      <c r="M339" s="77">
        <f>SUM(F4:F40)</f>
        <v>14</v>
      </c>
      <c r="N339" s="77">
        <f>SUM(G4:G40)</f>
        <v>19</v>
      </c>
    </row>
    <row r="340" ht="20.05" customHeight="1">
      <c r="H340" t="s" s="78">
        <v>50</v>
      </c>
      <c r="I340" s="79">
        <v>4</v>
      </c>
      <c r="J340" s="80">
        <v>14</v>
      </c>
      <c r="K340" s="80">
        <v>6</v>
      </c>
      <c r="L340" s="80">
        <f>SUM(E41:E50)</f>
        <v>50</v>
      </c>
      <c r="M340" s="80">
        <f>SUM(F41:F50)</f>
        <v>2</v>
      </c>
      <c r="N340" s="80">
        <f>SUM(G41:G50)</f>
        <v>4</v>
      </c>
    </row>
    <row r="341" ht="20.05" customHeight="1">
      <c r="H341" t="s" s="78">
        <v>1247</v>
      </c>
      <c r="I341" s="79">
        <v>3</v>
      </c>
      <c r="J341" s="80">
        <v>17</v>
      </c>
      <c r="K341" s="80">
        <f>SUM(D51:D67)</f>
        <v>1</v>
      </c>
      <c r="L341" s="80">
        <f>SUM(E51:E67)</f>
        <v>84</v>
      </c>
      <c r="M341" s="80">
        <f>SUM(F51:F67)</f>
        <v>1</v>
      </c>
      <c r="N341" s="80">
        <f>SUM(G51:G67)</f>
        <v>4</v>
      </c>
    </row>
    <row r="342" ht="20.05" customHeight="1">
      <c r="H342" t="s" s="78">
        <v>1017</v>
      </c>
      <c r="I342" s="79">
        <v>3</v>
      </c>
      <c r="J342" s="80">
        <v>12</v>
      </c>
      <c r="K342" s="80">
        <f>SUM(D68:D79)</f>
        <v>0</v>
      </c>
      <c r="L342" s="80">
        <f>SUM(E68:E79)</f>
        <v>76</v>
      </c>
      <c r="M342" s="80">
        <f>SUM(F68:F79)</f>
        <v>0</v>
      </c>
      <c r="N342" s="80">
        <f>SUM(G68:G79)</f>
        <v>0</v>
      </c>
    </row>
    <row r="343" ht="20.05" customHeight="1">
      <c r="H343" t="s" s="78">
        <v>1024</v>
      </c>
      <c r="I343" s="79">
        <v>5</v>
      </c>
      <c r="J343" s="80">
        <v>30</v>
      </c>
      <c r="K343" s="80">
        <f>SUM(D80:D109)</f>
        <v>0</v>
      </c>
      <c r="L343" s="80">
        <f>SUM(E80:E109)</f>
        <v>85</v>
      </c>
      <c r="M343" s="80">
        <f>SUM(F80:F109)</f>
        <v>0</v>
      </c>
      <c r="N343" s="80">
        <f>SUM(G80:G109)</f>
        <v>0</v>
      </c>
    </row>
    <row r="344" ht="20.05" customHeight="1">
      <c r="H344" t="s" s="78">
        <v>1248</v>
      </c>
      <c r="I344" s="79">
        <v>7</v>
      </c>
      <c r="J344" s="80">
        <v>22</v>
      </c>
      <c r="K344" s="80">
        <f>SUM(D110:D131)</f>
        <v>1</v>
      </c>
      <c r="L344" s="80">
        <f>SUM(E110:E131)</f>
        <v>197</v>
      </c>
      <c r="M344" s="80">
        <f>SUM(F110:F131)</f>
        <v>1</v>
      </c>
      <c r="N344" s="80">
        <f>SUM(G110:G131)</f>
        <v>4</v>
      </c>
    </row>
    <row r="345" ht="20.05" customHeight="1">
      <c r="H345" t="s" s="78">
        <v>315</v>
      </c>
      <c r="I345" s="79">
        <v>8</v>
      </c>
      <c r="J345" s="80">
        <v>37</v>
      </c>
      <c r="K345" s="80">
        <f>SUM(D132:D168)</f>
        <v>2</v>
      </c>
      <c r="L345" s="80">
        <f>SUM(E132:E168)</f>
        <v>252</v>
      </c>
      <c r="M345" s="80">
        <f>SUM(F132:F168)</f>
        <v>3</v>
      </c>
      <c r="N345" s="80">
        <f>SUM(G132:G168)</f>
        <v>1</v>
      </c>
    </row>
    <row r="346" ht="20.05" customHeight="1">
      <c r="H346" t="s" s="78">
        <v>1097</v>
      </c>
      <c r="I346" s="79">
        <v>6</v>
      </c>
      <c r="J346" s="80">
        <v>0</v>
      </c>
      <c r="K346" s="80">
        <v>0</v>
      </c>
      <c r="L346" s="80">
        <v>0</v>
      </c>
      <c r="M346" s="80">
        <v>0</v>
      </c>
      <c r="N346" s="80">
        <v>0</v>
      </c>
    </row>
    <row r="347" ht="20.05" customHeight="1">
      <c r="H347" t="s" s="78">
        <v>356</v>
      </c>
      <c r="I347" s="79">
        <v>5</v>
      </c>
      <c r="J347" s="80">
        <v>17</v>
      </c>
      <c r="K347" s="80">
        <f>SUM(D180:D196)</f>
        <v>1</v>
      </c>
      <c r="L347" s="80">
        <f>SUM(E180:E196)</f>
        <v>104</v>
      </c>
      <c r="M347" s="80">
        <f>SUM(F180:F196)</f>
        <v>0</v>
      </c>
      <c r="N347" s="80">
        <f>SUM(G180:G196)</f>
        <v>2</v>
      </c>
    </row>
    <row r="348" ht="20.05" customHeight="1">
      <c r="H348" t="s" s="78">
        <v>1109</v>
      </c>
      <c r="I348" s="79">
        <v>6</v>
      </c>
      <c r="J348" s="80">
        <v>17</v>
      </c>
      <c r="K348" s="80">
        <f>SUM(D197:D213)</f>
        <v>0</v>
      </c>
      <c r="L348" s="80">
        <f>SUM(E197:E213)</f>
        <v>21</v>
      </c>
      <c r="M348" s="80">
        <f>SUM(F197:F213)</f>
        <v>0</v>
      </c>
      <c r="N348" s="80">
        <f>SUM(G197:G213)</f>
        <v>0</v>
      </c>
    </row>
    <row r="349" ht="20.05" customHeight="1">
      <c r="H349" t="s" s="78">
        <v>1132</v>
      </c>
      <c r="I349" s="79">
        <v>3</v>
      </c>
      <c r="J349" s="80">
        <v>10</v>
      </c>
      <c r="K349" s="80">
        <f>SUM(D214:D223)</f>
        <v>0</v>
      </c>
      <c r="L349" s="80">
        <f>SUM(E214:E223)</f>
        <v>11</v>
      </c>
      <c r="M349" s="80">
        <f>SUM(F214:F223)</f>
        <v>0</v>
      </c>
      <c r="N349" s="80">
        <f>SUM(G214:G223)</f>
        <v>0</v>
      </c>
    </row>
    <row r="350" ht="20.05" customHeight="1">
      <c r="H350" t="s" s="78">
        <v>1146</v>
      </c>
      <c r="I350" s="79">
        <v>6</v>
      </c>
      <c r="J350" s="80">
        <v>22</v>
      </c>
      <c r="K350" s="80">
        <f>SUM(D224:D245)</f>
        <v>0</v>
      </c>
      <c r="L350" s="80">
        <f>SUM(E224:E245)</f>
        <v>28</v>
      </c>
      <c r="M350" s="80">
        <f>SUM(F224:F245)</f>
        <v>0</v>
      </c>
      <c r="N350" s="80">
        <f>SUM(G224:G245)</f>
        <v>0</v>
      </c>
    </row>
    <row r="351" ht="20.05" customHeight="1">
      <c r="H351" t="s" s="78">
        <v>92</v>
      </c>
      <c r="I351" s="79">
        <v>4</v>
      </c>
      <c r="J351" s="80">
        <v>13</v>
      </c>
      <c r="K351" s="80">
        <f>SUM(D246:D258)</f>
        <v>2</v>
      </c>
      <c r="L351" s="80">
        <f>SUM(E246:E258)</f>
        <v>47</v>
      </c>
      <c r="M351" s="80">
        <f>SUM(F246:F258)</f>
        <v>4</v>
      </c>
      <c r="N351" s="80">
        <f>SUM(G246:G258)</f>
        <v>3</v>
      </c>
    </row>
    <row r="352" ht="20.05" customHeight="1">
      <c r="H352" t="s" s="78">
        <v>1177</v>
      </c>
      <c r="I352" s="79">
        <v>5</v>
      </c>
      <c r="J352" s="80">
        <v>16</v>
      </c>
      <c r="K352" s="80">
        <f>SUM(D259:D274)</f>
        <v>0</v>
      </c>
      <c r="L352" s="80">
        <f>SUM(E259:E274)</f>
        <v>8</v>
      </c>
      <c r="M352" s="80">
        <f>SUM(F259:F274)</f>
        <v>0</v>
      </c>
      <c r="N352" s="80">
        <f>SUM(G259:G274)</f>
        <v>0</v>
      </c>
    </row>
    <row r="353" ht="20.05" customHeight="1">
      <c r="H353" t="s" s="78">
        <v>1197</v>
      </c>
      <c r="I353" s="79">
        <v>3</v>
      </c>
      <c r="J353" s="80">
        <v>20</v>
      </c>
      <c r="K353" s="80">
        <f>SUM(D275:D294)</f>
        <v>1</v>
      </c>
      <c r="L353" s="80">
        <f>SUM(E275:E294)</f>
        <v>31</v>
      </c>
      <c r="M353" s="80">
        <f>SUM(F275:F294)</f>
        <v>0</v>
      </c>
      <c r="N353" s="80">
        <f>SUM(G275:G294)</f>
        <v>0</v>
      </c>
    </row>
    <row r="354" ht="20.05" customHeight="1">
      <c r="H354" t="s" s="78">
        <v>497</v>
      </c>
      <c r="I354" s="79">
        <v>6</v>
      </c>
      <c r="J354" s="80">
        <v>30</v>
      </c>
      <c r="K354" s="80">
        <f>SUM(D295:D324)</f>
        <v>0</v>
      </c>
      <c r="L354" s="80">
        <f>SUM(E295:E324)</f>
        <v>22</v>
      </c>
      <c r="M354" s="80">
        <f>SUM(F295:F324)</f>
        <v>0</v>
      </c>
      <c r="N354" s="80">
        <f>SUM(G295:G324)</f>
        <v>0</v>
      </c>
    </row>
    <row r="355" ht="20.05" customHeight="1">
      <c r="H355" t="s" s="78">
        <v>77</v>
      </c>
      <c r="I355" s="79">
        <v>4</v>
      </c>
      <c r="J355" s="80">
        <v>10</v>
      </c>
      <c r="K355" s="80">
        <f>SUM(D325:D334)</f>
        <v>0</v>
      </c>
      <c r="L355" s="80">
        <f>SUM(E325:E334)</f>
        <v>47</v>
      </c>
      <c r="M355" s="80">
        <f>SUM(F325:F334)</f>
        <v>0</v>
      </c>
      <c r="N355" s="80">
        <f>SUM(G325:G334)</f>
        <v>0</v>
      </c>
    </row>
    <row r="356" ht="20.05" customHeight="1">
      <c r="H356" t="s" s="81">
        <v>448</v>
      </c>
      <c r="I356" s="82">
        <f>SUM(I339:I355)</f>
        <v>84</v>
      </c>
      <c r="J356" s="62">
        <f>SUM(J339:J355)</f>
        <v>324</v>
      </c>
      <c r="K356" s="25">
        <f>SUM(K339:K355)</f>
        <v>32</v>
      </c>
      <c r="L356" s="62">
        <f>SUM(L339:L355)</f>
        <v>1267</v>
      </c>
      <c r="M356" s="25">
        <f>SUM(M339:M355)</f>
        <v>25</v>
      </c>
      <c r="N356" s="62">
        <f>SUM(N339:N355)</f>
        <v>37</v>
      </c>
    </row>
    <row r="357" ht="20.05" customHeight="1">
      <c r="H357" t="s" s="78">
        <v>466</v>
      </c>
      <c r="I357" s="85"/>
      <c r="J357" s="71"/>
      <c r="K357" s="71"/>
      <c r="L357" s="71"/>
      <c r="M357" s="86"/>
      <c r="N357" s="71"/>
    </row>
  </sheetData>
  <mergeCells count="97">
    <mergeCell ref="A1:G1"/>
    <mergeCell ref="B4:B10"/>
    <mergeCell ref="B11:B18"/>
    <mergeCell ref="B19:B24"/>
    <mergeCell ref="B25:B31"/>
    <mergeCell ref="B32:B37"/>
    <mergeCell ref="B38:B40"/>
    <mergeCell ref="A4:A40"/>
    <mergeCell ref="A41:A50"/>
    <mergeCell ref="B41:B45"/>
    <mergeCell ref="B46:B47"/>
    <mergeCell ref="B48:B49"/>
    <mergeCell ref="B50"/>
    <mergeCell ref="A325:A334"/>
    <mergeCell ref="B325:B327"/>
    <mergeCell ref="B329:B332"/>
    <mergeCell ref="B333:B334"/>
    <mergeCell ref="B110:B112"/>
    <mergeCell ref="B123"/>
    <mergeCell ref="B127:B130"/>
    <mergeCell ref="B132:B135"/>
    <mergeCell ref="B142:B146"/>
    <mergeCell ref="B164:B168"/>
    <mergeCell ref="B182:B186"/>
    <mergeCell ref="B187:B191"/>
    <mergeCell ref="B193:B196"/>
    <mergeCell ref="B192"/>
    <mergeCell ref="B246:B248"/>
    <mergeCell ref="B249:B252"/>
    <mergeCell ref="A295:A324"/>
    <mergeCell ref="A110:A130"/>
    <mergeCell ref="B219:B223"/>
    <mergeCell ref="B216:B218"/>
    <mergeCell ref="B214:B215"/>
    <mergeCell ref="B224:B225"/>
    <mergeCell ref="B237:B242"/>
    <mergeCell ref="B230:B236"/>
    <mergeCell ref="B227:B229"/>
    <mergeCell ref="B243:B245"/>
    <mergeCell ref="B201:B205"/>
    <mergeCell ref="B206:B208"/>
    <mergeCell ref="B209:B212"/>
    <mergeCell ref="A80:A109"/>
    <mergeCell ref="B105:B109"/>
    <mergeCell ref="B98:B104"/>
    <mergeCell ref="B96:B97"/>
    <mergeCell ref="B91:B95"/>
    <mergeCell ref="B80:B90"/>
    <mergeCell ref="A68:A79"/>
    <mergeCell ref="B75:B79"/>
    <mergeCell ref="B68:B71"/>
    <mergeCell ref="B61:B67"/>
    <mergeCell ref="B56:B60"/>
    <mergeCell ref="A51:A67"/>
    <mergeCell ref="B51:B55"/>
    <mergeCell ref="B180:B181"/>
    <mergeCell ref="A180:A196"/>
    <mergeCell ref="B197:B198"/>
    <mergeCell ref="B199:B200"/>
    <mergeCell ref="A214:A223"/>
    <mergeCell ref="B302:B307"/>
    <mergeCell ref="B271:B274"/>
    <mergeCell ref="B265:B270"/>
    <mergeCell ref="B259:B260"/>
    <mergeCell ref="B261:B262"/>
    <mergeCell ref="B263:B264"/>
    <mergeCell ref="B295:B301"/>
    <mergeCell ref="B308:B311"/>
    <mergeCell ref="B312:B314"/>
    <mergeCell ref="B315:B321"/>
    <mergeCell ref="B322:B324"/>
    <mergeCell ref="B288:B294"/>
    <mergeCell ref="B281:B287"/>
    <mergeCell ref="B275:B280"/>
    <mergeCell ref="A275:A294"/>
    <mergeCell ref="B72:B74"/>
    <mergeCell ref="B256:B258"/>
    <mergeCell ref="A246:A258"/>
    <mergeCell ref="B253:B255"/>
    <mergeCell ref="B169:B170"/>
    <mergeCell ref="B171:B172"/>
    <mergeCell ref="B173:B174"/>
    <mergeCell ref="B175:B176"/>
    <mergeCell ref="B177:B178"/>
    <mergeCell ref="B159:B162"/>
    <mergeCell ref="B136:B141"/>
    <mergeCell ref="B147:B151"/>
    <mergeCell ref="B152:B158"/>
    <mergeCell ref="B113:B116"/>
    <mergeCell ref="B124:B126"/>
    <mergeCell ref="B117:B122"/>
    <mergeCell ref="A132:A168"/>
    <mergeCell ref="A169:A179"/>
    <mergeCell ref="A197:A213"/>
    <mergeCell ref="A224:A245"/>
    <mergeCell ref="A259:A274"/>
    <mergeCell ref="H337:N33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2:N22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7578" style="201" customWidth="1"/>
    <col min="2" max="2" width="47.2188" style="201" customWidth="1"/>
    <col min="3" max="3" width="34.1406" style="201" customWidth="1"/>
    <col min="4" max="7" width="16.3516" style="201" customWidth="1"/>
    <col min="8" max="8" width="40.8203" style="207" customWidth="1"/>
    <col min="9" max="14" width="16.3516" style="207" customWidth="1"/>
    <col min="15" max="16384" width="16.3516" style="207" customWidth="1"/>
  </cols>
  <sheetData>
    <row r="1" ht="37.4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4"/>
      <c r="E2" s="4"/>
      <c r="F2" s="4"/>
      <c r="G2" s="4"/>
    </row>
    <row r="3" ht="32.25" customHeight="1">
      <c r="A3" t="s" s="5">
        <v>1</v>
      </c>
      <c r="B3" t="s" s="6">
        <v>2</v>
      </c>
      <c r="C3" t="s" s="7">
        <v>3</v>
      </c>
      <c r="D3" t="s" s="7">
        <v>4</v>
      </c>
      <c r="E3" t="s" s="7">
        <v>794</v>
      </c>
      <c r="F3" t="s" s="7">
        <v>7</v>
      </c>
      <c r="G3" t="s" s="7">
        <v>8</v>
      </c>
    </row>
    <row r="4" ht="20.05" customHeight="1">
      <c r="A4" t="s" s="8">
        <v>9</v>
      </c>
      <c r="B4" t="s" s="9">
        <v>10</v>
      </c>
      <c r="C4" t="s" s="10">
        <v>11</v>
      </c>
      <c r="D4" s="11">
        <v>2</v>
      </c>
      <c r="E4" s="11">
        <v>6</v>
      </c>
      <c r="F4" s="11">
        <v>0</v>
      </c>
      <c r="G4" s="11">
        <v>2</v>
      </c>
    </row>
    <row r="5" ht="20.05" customHeight="1">
      <c r="A5" s="12"/>
      <c r="B5" s="13"/>
      <c r="C5" t="s" s="10">
        <v>12</v>
      </c>
      <c r="D5" s="11">
        <v>0</v>
      </c>
      <c r="E5" s="11">
        <v>1</v>
      </c>
      <c r="F5" s="11">
        <v>0</v>
      </c>
      <c r="G5" s="11">
        <v>3</v>
      </c>
    </row>
    <row r="6" ht="20.05" customHeight="1">
      <c r="A6" s="12"/>
      <c r="B6" s="13"/>
      <c r="C6" t="s" s="10">
        <v>14</v>
      </c>
      <c r="D6" s="11">
        <v>0</v>
      </c>
      <c r="E6" s="11">
        <v>1</v>
      </c>
      <c r="F6" s="11">
        <v>0</v>
      </c>
      <c r="G6" s="11">
        <v>2</v>
      </c>
    </row>
    <row r="7" ht="20.05" customHeight="1">
      <c r="A7" s="12"/>
      <c r="B7" s="13"/>
      <c r="C7" t="s" s="10">
        <v>15</v>
      </c>
      <c r="D7" s="11">
        <v>0</v>
      </c>
      <c r="E7" s="11">
        <v>0</v>
      </c>
      <c r="F7" s="11">
        <v>0</v>
      </c>
      <c r="G7" s="11">
        <v>0</v>
      </c>
    </row>
    <row r="8" ht="20.05" customHeight="1">
      <c r="A8" s="12"/>
      <c r="B8" t="s" s="9">
        <v>16</v>
      </c>
      <c r="C8" t="s" s="10">
        <v>17</v>
      </c>
      <c r="D8" s="11">
        <v>1</v>
      </c>
      <c r="E8" s="11">
        <v>13</v>
      </c>
      <c r="F8" s="11">
        <v>3</v>
      </c>
      <c r="G8" s="11">
        <v>1</v>
      </c>
    </row>
    <row r="9" ht="20.05" customHeight="1">
      <c r="A9" s="12"/>
      <c r="B9" s="13"/>
      <c r="C9" t="s" s="10">
        <v>18</v>
      </c>
      <c r="D9" s="11">
        <v>3</v>
      </c>
      <c r="E9" s="11">
        <v>3</v>
      </c>
      <c r="F9" s="11">
        <v>0</v>
      </c>
      <c r="G9" s="11">
        <v>0</v>
      </c>
    </row>
    <row r="10" ht="20.05" customHeight="1">
      <c r="A10" s="12"/>
      <c r="B10" s="13"/>
      <c r="C10" t="s" s="10">
        <v>19</v>
      </c>
      <c r="D10" s="11">
        <v>2</v>
      </c>
      <c r="E10" s="11">
        <v>15</v>
      </c>
      <c r="F10" s="11">
        <v>2</v>
      </c>
      <c r="G10" s="11">
        <v>1</v>
      </c>
    </row>
    <row r="11" ht="20.05" customHeight="1">
      <c r="A11" s="12"/>
      <c r="B11" s="13"/>
      <c r="C11" t="s" s="10">
        <v>20</v>
      </c>
      <c r="D11" s="11">
        <v>1</v>
      </c>
      <c r="E11" s="11">
        <v>9</v>
      </c>
      <c r="F11" s="11">
        <v>1</v>
      </c>
      <c r="G11" s="11">
        <v>1</v>
      </c>
    </row>
    <row r="12" ht="20.05" customHeight="1">
      <c r="A12" s="12"/>
      <c r="B12" s="13"/>
      <c r="C12" t="s" s="10">
        <v>21</v>
      </c>
      <c r="D12" s="11">
        <v>1</v>
      </c>
      <c r="E12" s="11">
        <v>10</v>
      </c>
      <c r="F12" s="11">
        <v>0</v>
      </c>
      <c r="G12" s="11">
        <v>1</v>
      </c>
    </row>
    <row r="13" ht="20.05" customHeight="1">
      <c r="A13" s="12"/>
      <c r="B13" s="13"/>
      <c r="C13" t="s" s="10">
        <v>22</v>
      </c>
      <c r="D13" s="11">
        <v>1</v>
      </c>
      <c r="E13" s="11">
        <v>6</v>
      </c>
      <c r="F13" s="11">
        <v>1</v>
      </c>
      <c r="G13" s="11">
        <v>1</v>
      </c>
    </row>
    <row r="14" ht="20.05" customHeight="1">
      <c r="A14" s="12"/>
      <c r="B14" s="13"/>
      <c r="C14" t="s" s="10">
        <v>806</v>
      </c>
      <c r="D14" s="11">
        <v>0</v>
      </c>
      <c r="E14" s="11">
        <v>2</v>
      </c>
      <c r="F14" s="11">
        <v>0</v>
      </c>
      <c r="G14" s="11">
        <v>1</v>
      </c>
    </row>
    <row r="15" ht="20.05" customHeight="1">
      <c r="A15" s="12"/>
      <c r="B15" s="13"/>
      <c r="C15" t="s" s="10">
        <v>1249</v>
      </c>
      <c r="D15" s="11">
        <v>0</v>
      </c>
      <c r="E15" s="11">
        <v>3</v>
      </c>
      <c r="F15" s="11">
        <v>0</v>
      </c>
      <c r="G15" s="11">
        <v>0</v>
      </c>
    </row>
    <row r="16" ht="20.05" customHeight="1">
      <c r="A16" s="12"/>
      <c r="B16" t="s" s="9">
        <v>23</v>
      </c>
      <c r="C16" t="s" s="10">
        <v>24</v>
      </c>
      <c r="D16" s="11">
        <v>0</v>
      </c>
      <c r="E16" s="11">
        <v>14</v>
      </c>
      <c r="F16" s="11">
        <v>1</v>
      </c>
      <c r="G16" s="11">
        <v>1</v>
      </c>
    </row>
    <row r="17" ht="20.05" customHeight="1">
      <c r="A17" s="12"/>
      <c r="B17" s="13"/>
      <c r="C17" t="s" s="10">
        <v>25</v>
      </c>
      <c r="D17" s="11">
        <v>1</v>
      </c>
      <c r="E17" s="11">
        <v>4</v>
      </c>
      <c r="F17" s="11">
        <v>0</v>
      </c>
      <c r="G17" s="11">
        <v>1</v>
      </c>
    </row>
    <row r="18" ht="20.05" customHeight="1">
      <c r="A18" s="12"/>
      <c r="B18" s="13"/>
      <c r="C18" t="s" s="10">
        <v>26</v>
      </c>
      <c r="D18" s="11">
        <v>2</v>
      </c>
      <c r="E18" s="11">
        <v>3</v>
      </c>
      <c r="F18" s="11">
        <v>0</v>
      </c>
      <c r="G18" s="11">
        <v>1</v>
      </c>
    </row>
    <row r="19" ht="20.05" customHeight="1">
      <c r="A19" s="12"/>
      <c r="B19" s="13"/>
      <c r="C19" t="s" s="10">
        <v>27</v>
      </c>
      <c r="D19" s="11">
        <v>0</v>
      </c>
      <c r="E19" s="11">
        <v>4</v>
      </c>
      <c r="F19" s="11">
        <v>1</v>
      </c>
      <c r="G19" s="11">
        <v>1</v>
      </c>
    </row>
    <row r="20" ht="20.05" customHeight="1">
      <c r="A20" s="12"/>
      <c r="B20" s="13"/>
      <c r="C20" t="s" s="10">
        <v>28</v>
      </c>
      <c r="D20" s="11">
        <v>0</v>
      </c>
      <c r="E20" s="11">
        <v>3</v>
      </c>
      <c r="F20" s="11">
        <v>0</v>
      </c>
      <c r="G20" s="11">
        <v>0</v>
      </c>
    </row>
    <row r="21" ht="20.05" customHeight="1">
      <c r="A21" s="12"/>
      <c r="B21" s="13"/>
      <c r="C21" t="s" s="10">
        <v>807</v>
      </c>
      <c r="D21" s="11">
        <v>1</v>
      </c>
      <c r="E21" s="11">
        <v>2</v>
      </c>
      <c r="F21" s="11">
        <v>0</v>
      </c>
      <c r="G21" s="11">
        <v>0</v>
      </c>
    </row>
    <row r="22" ht="20.05" customHeight="1">
      <c r="A22" s="12"/>
      <c r="B22" s="13"/>
      <c r="C22" t="s" s="10">
        <v>593</v>
      </c>
      <c r="D22" s="11">
        <v>1</v>
      </c>
      <c r="E22" s="11">
        <v>5</v>
      </c>
      <c r="F22" s="11">
        <v>0</v>
      </c>
      <c r="G22" s="11">
        <v>1</v>
      </c>
    </row>
    <row r="23" ht="20.05" customHeight="1">
      <c r="A23" s="12"/>
      <c r="B23" s="13"/>
      <c r="C23" t="s" s="10">
        <v>1250</v>
      </c>
      <c r="D23" s="11">
        <v>0</v>
      </c>
      <c r="E23" s="11">
        <v>6</v>
      </c>
      <c r="F23" s="11">
        <v>0</v>
      </c>
      <c r="G23" s="11">
        <v>1</v>
      </c>
    </row>
    <row r="24" ht="20.05" customHeight="1">
      <c r="A24" s="12"/>
      <c r="B24" s="13"/>
      <c r="C24" t="s" s="10">
        <v>1157</v>
      </c>
      <c r="D24" s="11">
        <v>0</v>
      </c>
      <c r="E24" s="11">
        <v>2</v>
      </c>
      <c r="F24" s="11">
        <v>0</v>
      </c>
      <c r="G24" s="11">
        <v>0</v>
      </c>
    </row>
    <row r="25" ht="20.05" customHeight="1">
      <c r="A25" s="12"/>
      <c r="B25" t="s" s="9">
        <v>34</v>
      </c>
      <c r="C25" t="s" s="10">
        <v>813</v>
      </c>
      <c r="D25" s="11">
        <v>0</v>
      </c>
      <c r="E25" s="11">
        <v>2</v>
      </c>
      <c r="F25" s="11">
        <v>0</v>
      </c>
      <c r="G25" s="11">
        <v>0</v>
      </c>
    </row>
    <row r="26" ht="20.05" customHeight="1">
      <c r="A26" s="12"/>
      <c r="B26" s="13"/>
      <c r="C26" t="s" s="10">
        <v>35</v>
      </c>
      <c r="D26" s="11">
        <v>0</v>
      </c>
      <c r="E26" s="11">
        <v>1</v>
      </c>
      <c r="F26" s="11">
        <v>0</v>
      </c>
      <c r="G26" s="11">
        <v>0</v>
      </c>
    </row>
    <row r="27" ht="20.05" customHeight="1">
      <c r="A27" s="12"/>
      <c r="B27" s="13"/>
      <c r="C27" t="s" s="10">
        <v>36</v>
      </c>
      <c r="D27" s="11">
        <v>0</v>
      </c>
      <c r="E27" s="11">
        <v>8</v>
      </c>
      <c r="F27" s="11">
        <v>0</v>
      </c>
      <c r="G27" s="11">
        <v>0</v>
      </c>
    </row>
    <row r="28" ht="20.05" customHeight="1">
      <c r="A28" s="12"/>
      <c r="B28" s="13"/>
      <c r="C28" t="s" s="10">
        <v>37</v>
      </c>
      <c r="D28" s="11">
        <v>0</v>
      </c>
      <c r="E28" s="11">
        <v>2</v>
      </c>
      <c r="F28" s="11">
        <v>0</v>
      </c>
      <c r="G28" s="11">
        <v>0</v>
      </c>
    </row>
    <row r="29" ht="20.05" customHeight="1">
      <c r="A29" s="12"/>
      <c r="B29" s="13"/>
      <c r="C29" t="s" s="10">
        <v>814</v>
      </c>
      <c r="D29" s="11">
        <v>0</v>
      </c>
      <c r="E29" s="11">
        <v>1</v>
      </c>
      <c r="F29" s="11">
        <v>0</v>
      </c>
      <c r="G29" s="11">
        <v>0</v>
      </c>
    </row>
    <row r="30" ht="20.05" customHeight="1">
      <c r="A30" s="12"/>
      <c r="B30" s="13"/>
      <c r="C30" t="s" s="10">
        <v>38</v>
      </c>
      <c r="D30" s="11">
        <v>2</v>
      </c>
      <c r="E30" s="11">
        <v>10</v>
      </c>
      <c r="F30" s="11">
        <v>1</v>
      </c>
      <c r="G30" s="11">
        <v>0</v>
      </c>
    </row>
    <row r="31" ht="20.05" customHeight="1">
      <c r="A31" s="12"/>
      <c r="B31" s="13"/>
      <c r="C31" t="s" s="10">
        <v>39</v>
      </c>
      <c r="D31" s="11">
        <v>1</v>
      </c>
      <c r="E31" s="11">
        <v>14</v>
      </c>
      <c r="F31" s="11">
        <v>0</v>
      </c>
      <c r="G31" s="11">
        <v>1</v>
      </c>
    </row>
    <row r="32" ht="30.8" customHeight="1">
      <c r="A32" s="202"/>
      <c r="B32" t="s" s="171">
        <v>315</v>
      </c>
      <c r="C32" t="s" s="21">
        <v>317</v>
      </c>
      <c r="D32" s="203"/>
      <c r="E32" s="203"/>
      <c r="F32" s="203"/>
      <c r="G32" s="203"/>
    </row>
    <row r="33" ht="30.8" customHeight="1">
      <c r="A33" s="202"/>
      <c r="B33" s="13"/>
      <c r="C33" t="s" s="21">
        <v>320</v>
      </c>
      <c r="D33" s="203"/>
      <c r="E33" s="203"/>
      <c r="F33" s="203"/>
      <c r="G33" s="203"/>
    </row>
    <row r="34" ht="30.8" customHeight="1">
      <c r="A34" s="202"/>
      <c r="B34" s="13"/>
      <c r="C34" t="s" s="21">
        <v>1251</v>
      </c>
      <c r="D34" s="203"/>
      <c r="E34" s="203"/>
      <c r="F34" s="203"/>
      <c r="G34" s="203"/>
    </row>
    <row r="35" ht="30.8" customHeight="1">
      <c r="A35" s="202"/>
      <c r="B35" s="13"/>
      <c r="C35" t="s" s="21">
        <v>1252</v>
      </c>
      <c r="D35" s="203"/>
      <c r="E35" s="203"/>
      <c r="F35" s="203"/>
      <c r="G35" s="203"/>
    </row>
    <row r="36" ht="30.8" customHeight="1">
      <c r="A36" s="202"/>
      <c r="B36" s="13"/>
      <c r="C36" t="s" s="21">
        <v>1253</v>
      </c>
      <c r="D36" s="203"/>
      <c r="E36" s="203"/>
      <c r="F36" s="203"/>
      <c r="G36" s="203"/>
    </row>
    <row r="37" ht="30.8" customHeight="1">
      <c r="A37" s="202"/>
      <c r="B37" s="13"/>
      <c r="C37" t="s" s="21">
        <v>1254</v>
      </c>
      <c r="D37" s="203"/>
      <c r="E37" s="203"/>
      <c r="F37" s="203"/>
      <c r="G37" s="203"/>
    </row>
    <row r="38" ht="30.8" customHeight="1">
      <c r="A38" s="202"/>
      <c r="B38" s="13"/>
      <c r="C38" t="s" s="21">
        <v>325</v>
      </c>
      <c r="D38" s="203"/>
      <c r="E38" s="203"/>
      <c r="F38" s="203"/>
      <c r="G38" s="203"/>
    </row>
    <row r="39" ht="30.8" customHeight="1">
      <c r="A39" s="202"/>
      <c r="B39" s="13"/>
      <c r="C39" t="s" s="21">
        <v>1255</v>
      </c>
      <c r="D39" s="203"/>
      <c r="E39" s="203"/>
      <c r="F39" s="203"/>
      <c r="G39" s="203"/>
    </row>
    <row r="40" ht="30.8" customHeight="1">
      <c r="A40" s="202"/>
      <c r="B40" s="13"/>
      <c r="C40" t="s" s="21">
        <v>1256</v>
      </c>
      <c r="D40" s="203"/>
      <c r="E40" s="203"/>
      <c r="F40" s="203"/>
      <c r="G40" s="203"/>
    </row>
    <row r="41" ht="30.8" customHeight="1">
      <c r="A41" s="202"/>
      <c r="B41" s="13"/>
      <c r="C41" t="s" s="21">
        <v>1257</v>
      </c>
      <c r="D41" s="203"/>
      <c r="E41" s="203"/>
      <c r="F41" s="203"/>
      <c r="G41" s="203"/>
    </row>
    <row r="42" ht="30.8" customHeight="1">
      <c r="A42" s="202"/>
      <c r="B42" s="13"/>
      <c r="C42" t="s" s="21">
        <v>1258</v>
      </c>
      <c r="D42" s="203"/>
      <c r="E42" s="203"/>
      <c r="F42" s="203"/>
      <c r="G42" s="203"/>
    </row>
    <row r="43" ht="30.8" customHeight="1">
      <c r="A43" s="202"/>
      <c r="B43" t="s" s="171">
        <v>266</v>
      </c>
      <c r="C43" t="s" s="21">
        <v>267</v>
      </c>
      <c r="D43" s="203"/>
      <c r="E43" s="203"/>
      <c r="F43" s="203"/>
      <c r="G43" s="203"/>
    </row>
    <row r="44" ht="30.8" customHeight="1">
      <c r="A44" s="202"/>
      <c r="B44" s="13"/>
      <c r="C44" t="s" s="21">
        <v>1058</v>
      </c>
      <c r="D44" s="203"/>
      <c r="E44" s="203"/>
      <c r="F44" s="203"/>
      <c r="G44" s="203"/>
    </row>
    <row r="45" ht="30.8" customHeight="1">
      <c r="A45" s="202"/>
      <c r="B45" s="13"/>
      <c r="C45" t="s" s="21">
        <v>1259</v>
      </c>
      <c r="D45" s="203"/>
      <c r="E45" s="203"/>
      <c r="F45" s="203"/>
      <c r="G45" s="203"/>
    </row>
    <row r="46" ht="30.8" customHeight="1">
      <c r="A46" s="202"/>
      <c r="B46" s="13"/>
      <c r="C46" t="s" s="21">
        <v>622</v>
      </c>
      <c r="D46" s="203"/>
      <c r="E46" s="203"/>
      <c r="F46" s="203"/>
      <c r="G46" s="203"/>
    </row>
    <row r="47" ht="30.8" customHeight="1">
      <c r="A47" s="202"/>
      <c r="B47" s="13"/>
      <c r="C47" t="s" s="21">
        <v>1260</v>
      </c>
      <c r="D47" s="203"/>
      <c r="E47" s="203"/>
      <c r="F47" s="203"/>
      <c r="G47" s="203"/>
    </row>
    <row r="48" ht="30.8" customHeight="1">
      <c r="A48" s="202"/>
      <c r="B48" s="13"/>
      <c r="C48" t="s" s="21">
        <v>281</v>
      </c>
      <c r="D48" s="203"/>
      <c r="E48" s="203"/>
      <c r="F48" s="203"/>
      <c r="G48" s="203"/>
    </row>
    <row r="49" ht="30.8" customHeight="1">
      <c r="A49" s="202"/>
      <c r="B49" s="13"/>
      <c r="C49" t="s" s="21">
        <v>650</v>
      </c>
      <c r="D49" s="203"/>
      <c r="E49" s="203"/>
      <c r="F49" s="203"/>
      <c r="G49" s="203"/>
    </row>
    <row r="50" ht="30.8" customHeight="1">
      <c r="A50" s="202"/>
      <c r="B50" s="13"/>
      <c r="C50" t="s" s="21">
        <v>304</v>
      </c>
      <c r="D50" s="203"/>
      <c r="E50" s="203"/>
      <c r="F50" s="203"/>
      <c r="G50" s="203"/>
    </row>
    <row r="51" ht="20.05" customHeight="1">
      <c r="A51" t="s" s="19">
        <v>1009</v>
      </c>
      <c r="B51" t="s" s="171">
        <v>133</v>
      </c>
      <c r="C51" t="s" s="21">
        <v>148</v>
      </c>
      <c r="D51" s="173">
        <v>0</v>
      </c>
      <c r="E51" s="173">
        <v>20</v>
      </c>
      <c r="F51" s="173">
        <v>0</v>
      </c>
      <c r="G51" s="173">
        <v>0</v>
      </c>
    </row>
    <row r="52" ht="20.05" customHeight="1">
      <c r="A52" s="12"/>
      <c r="B52" s="13"/>
      <c r="C52" t="s" s="21">
        <v>166</v>
      </c>
      <c r="D52" s="173">
        <v>0</v>
      </c>
      <c r="E52" s="173">
        <v>5</v>
      </c>
      <c r="F52" s="173">
        <v>0</v>
      </c>
      <c r="G52" s="173">
        <v>0</v>
      </c>
    </row>
    <row r="53" ht="20.05" customHeight="1">
      <c r="A53" s="12"/>
      <c r="B53" s="13"/>
      <c r="C53" t="s" s="21">
        <v>1011</v>
      </c>
      <c r="D53" s="173">
        <v>0</v>
      </c>
      <c r="E53" s="173">
        <v>7</v>
      </c>
      <c r="F53" s="173">
        <v>0</v>
      </c>
      <c r="G53" s="173">
        <v>1</v>
      </c>
    </row>
    <row r="54" ht="20.05" customHeight="1">
      <c r="A54" s="12"/>
      <c r="B54" s="13"/>
      <c r="C54" t="s" s="21">
        <v>1012</v>
      </c>
      <c r="D54" s="173">
        <v>0</v>
      </c>
      <c r="E54" s="173">
        <v>6</v>
      </c>
      <c r="F54" s="173">
        <v>0</v>
      </c>
      <c r="G54" s="173">
        <v>0</v>
      </c>
    </row>
    <row r="55" ht="20.05" customHeight="1">
      <c r="A55" s="12"/>
      <c r="B55" s="13"/>
      <c r="C55" t="s" s="21">
        <v>1013</v>
      </c>
      <c r="D55" s="173">
        <v>1</v>
      </c>
      <c r="E55" s="173">
        <v>10</v>
      </c>
      <c r="F55" s="173">
        <v>0</v>
      </c>
      <c r="G55" s="173">
        <v>0</v>
      </c>
    </row>
    <row r="56" ht="20.05" customHeight="1">
      <c r="A56" s="12"/>
      <c r="B56" s="13"/>
      <c r="C56" t="s" s="21">
        <v>176</v>
      </c>
      <c r="D56" s="173">
        <v>0</v>
      </c>
      <c r="E56" s="173">
        <v>1</v>
      </c>
      <c r="F56" s="173">
        <v>0</v>
      </c>
      <c r="G56" s="173">
        <v>0</v>
      </c>
    </row>
    <row r="57" ht="20.05" customHeight="1">
      <c r="A57" s="12"/>
      <c r="B57" t="s" s="171">
        <v>542</v>
      </c>
      <c r="C57" t="s" s="172">
        <v>170</v>
      </c>
      <c r="D57" s="173">
        <v>0</v>
      </c>
      <c r="E57" s="173">
        <v>4</v>
      </c>
      <c r="F57" s="173">
        <v>0</v>
      </c>
      <c r="G57" s="173">
        <v>1</v>
      </c>
    </row>
    <row r="58" ht="20.05" customHeight="1">
      <c r="A58" s="12"/>
      <c r="B58" s="13"/>
      <c r="C58" t="s" s="172">
        <v>171</v>
      </c>
      <c r="D58" s="173">
        <v>0</v>
      </c>
      <c r="E58" s="173">
        <v>4</v>
      </c>
      <c r="F58" s="173">
        <v>0</v>
      </c>
      <c r="G58" s="173">
        <v>0</v>
      </c>
    </row>
    <row r="59" ht="20.05" customHeight="1">
      <c r="A59" s="12"/>
      <c r="B59" s="13"/>
      <c r="C59" t="s" s="172">
        <v>172</v>
      </c>
      <c r="D59" s="173">
        <v>0</v>
      </c>
      <c r="E59" s="173">
        <v>2</v>
      </c>
      <c r="F59" s="173">
        <v>0</v>
      </c>
      <c r="G59" s="173">
        <v>0</v>
      </c>
    </row>
    <row r="60" ht="20.05" customHeight="1">
      <c r="A60" s="12"/>
      <c r="B60" s="13"/>
      <c r="C60" t="s" s="172">
        <v>173</v>
      </c>
      <c r="D60" s="173">
        <v>0</v>
      </c>
      <c r="E60" s="173">
        <v>1</v>
      </c>
      <c r="F60" s="173">
        <v>0</v>
      </c>
      <c r="G60" s="173">
        <v>0</v>
      </c>
    </row>
    <row r="61" ht="20.05" customHeight="1">
      <c r="A61" s="12"/>
      <c r="B61" s="13"/>
      <c r="C61" t="s" s="172">
        <v>174</v>
      </c>
      <c r="D61" s="173">
        <v>0</v>
      </c>
      <c r="E61" s="173">
        <v>3</v>
      </c>
      <c r="F61" s="173">
        <v>0</v>
      </c>
      <c r="G61" s="173">
        <v>0</v>
      </c>
    </row>
    <row r="62" ht="20.05" customHeight="1">
      <c r="A62" s="12"/>
      <c r="B62" t="s" s="171">
        <v>1261</v>
      </c>
      <c r="C62" t="s" s="172">
        <v>106</v>
      </c>
      <c r="D62" s="173">
        <v>0</v>
      </c>
      <c r="E62" s="173">
        <v>7</v>
      </c>
      <c r="F62" s="173">
        <v>0</v>
      </c>
      <c r="G62" s="173">
        <v>1</v>
      </c>
    </row>
    <row r="63" ht="20.05" customHeight="1">
      <c r="A63" s="12"/>
      <c r="B63" s="13"/>
      <c r="C63" t="s" s="172">
        <v>109</v>
      </c>
      <c r="D63" s="173">
        <v>0</v>
      </c>
      <c r="E63" s="173">
        <v>2</v>
      </c>
      <c r="F63" s="173">
        <v>0</v>
      </c>
      <c r="G63" s="173">
        <v>1</v>
      </c>
    </row>
    <row r="64" ht="20.05" customHeight="1">
      <c r="A64" s="12"/>
      <c r="B64" s="13"/>
      <c r="C64" t="s" s="172">
        <v>111</v>
      </c>
      <c r="D64" s="173">
        <v>0</v>
      </c>
      <c r="E64" s="173">
        <v>7</v>
      </c>
      <c r="F64" s="173">
        <v>0</v>
      </c>
      <c r="G64" s="173">
        <v>0</v>
      </c>
    </row>
    <row r="65" ht="20.05" customHeight="1">
      <c r="A65" s="12"/>
      <c r="B65" s="13"/>
      <c r="C65" t="s" s="172">
        <v>112</v>
      </c>
      <c r="D65" s="173">
        <v>0</v>
      </c>
      <c r="E65" s="173">
        <v>4</v>
      </c>
      <c r="F65" s="173">
        <v>0</v>
      </c>
      <c r="G65" s="173">
        <v>0</v>
      </c>
    </row>
    <row r="66" ht="20.05" customHeight="1">
      <c r="A66" s="12"/>
      <c r="B66" s="13"/>
      <c r="C66" t="s" s="172">
        <v>843</v>
      </c>
      <c r="D66" s="173">
        <v>0</v>
      </c>
      <c r="E66" s="173">
        <v>12</v>
      </c>
      <c r="F66" s="173">
        <v>0</v>
      </c>
      <c r="G66" s="173">
        <v>0</v>
      </c>
    </row>
    <row r="67" ht="20.05" customHeight="1">
      <c r="A67" s="12"/>
      <c r="B67" s="13"/>
      <c r="C67" t="s" s="172">
        <v>1016</v>
      </c>
      <c r="D67" s="173">
        <v>0</v>
      </c>
      <c r="E67" s="173">
        <v>2</v>
      </c>
      <c r="F67" s="173">
        <v>0</v>
      </c>
      <c r="G67" s="173">
        <v>0</v>
      </c>
    </row>
    <row r="68" ht="20.05" customHeight="1">
      <c r="A68" s="12"/>
      <c r="B68" s="13"/>
      <c r="C68" t="s" s="172">
        <v>846</v>
      </c>
      <c r="D68" s="173">
        <v>0</v>
      </c>
      <c r="E68" s="173">
        <v>7</v>
      </c>
      <c r="F68" s="173">
        <v>1</v>
      </c>
      <c r="G68" s="173">
        <v>0</v>
      </c>
    </row>
    <row r="69" ht="20.05" customHeight="1">
      <c r="A69" t="s" s="36">
        <v>77</v>
      </c>
      <c r="B69" t="s" s="37">
        <v>1262</v>
      </c>
      <c r="C69" t="s" s="38">
        <v>79</v>
      </c>
      <c r="D69" s="39">
        <v>0</v>
      </c>
      <c r="E69" s="39">
        <v>11</v>
      </c>
      <c r="F69" s="39">
        <v>0</v>
      </c>
      <c r="G69" s="39">
        <v>0</v>
      </c>
    </row>
    <row r="70" ht="20.05" customHeight="1">
      <c r="A70" s="12"/>
      <c r="B70" s="13"/>
      <c r="C70" t="s" s="38">
        <v>80</v>
      </c>
      <c r="D70" s="39">
        <v>0</v>
      </c>
      <c r="E70" s="39">
        <v>1</v>
      </c>
      <c r="F70" s="39">
        <v>0</v>
      </c>
      <c r="G70" s="39">
        <v>0</v>
      </c>
    </row>
    <row r="71" ht="20.05" customHeight="1">
      <c r="A71" s="12"/>
      <c r="B71" s="13"/>
      <c r="C71" t="s" s="38">
        <v>81</v>
      </c>
      <c r="D71" s="39">
        <v>0</v>
      </c>
      <c r="E71" s="39">
        <v>18</v>
      </c>
      <c r="F71" s="39">
        <v>0</v>
      </c>
      <c r="G71" s="39">
        <v>0</v>
      </c>
    </row>
    <row r="72" ht="20.05" customHeight="1">
      <c r="A72" s="12"/>
      <c r="B72" s="13"/>
      <c r="C72" t="s" s="38">
        <v>598</v>
      </c>
      <c r="D72" s="39">
        <v>0</v>
      </c>
      <c r="E72" s="39">
        <v>1</v>
      </c>
      <c r="F72" s="39">
        <v>0</v>
      </c>
      <c r="G72" s="39">
        <v>0</v>
      </c>
    </row>
    <row r="73" ht="23.95" customHeight="1">
      <c r="A73" s="12"/>
      <c r="B73" t="s" s="37">
        <v>1263</v>
      </c>
      <c r="C73" t="s" s="38">
        <v>1263</v>
      </c>
      <c r="D73" s="39">
        <v>0</v>
      </c>
      <c r="E73" s="39">
        <v>4</v>
      </c>
      <c r="F73" s="39">
        <v>0</v>
      </c>
      <c r="G73" s="39">
        <v>0</v>
      </c>
    </row>
    <row r="74" ht="32.05" customHeight="1">
      <c r="A74" s="12"/>
      <c r="B74" t="s" s="37">
        <v>82</v>
      </c>
      <c r="C74" t="s" s="38">
        <v>83</v>
      </c>
      <c r="D74" s="39">
        <v>0</v>
      </c>
      <c r="E74" s="39">
        <v>2</v>
      </c>
      <c r="F74" s="39">
        <v>0</v>
      </c>
      <c r="G74" s="39">
        <v>0</v>
      </c>
    </row>
    <row r="75" ht="20.05" customHeight="1">
      <c r="A75" s="12"/>
      <c r="B75" t="s" s="37">
        <v>1264</v>
      </c>
      <c r="C75" s="204"/>
      <c r="D75" s="205"/>
      <c r="E75" s="205"/>
      <c r="F75" s="205"/>
      <c r="G75" s="205"/>
    </row>
    <row r="76" ht="20.05" customHeight="1">
      <c r="A76" s="12"/>
      <c r="B76" s="13"/>
      <c r="C76" s="204"/>
      <c r="D76" s="205"/>
      <c r="E76" s="205"/>
      <c r="F76" s="205"/>
      <c r="G76" s="205"/>
    </row>
    <row r="77" ht="20.05" customHeight="1">
      <c r="A77" t="s" s="26">
        <v>92</v>
      </c>
      <c r="B77" t="s" s="27">
        <v>93</v>
      </c>
      <c r="C77" t="s" s="28">
        <v>816</v>
      </c>
      <c r="D77" s="29">
        <v>1</v>
      </c>
      <c r="E77" s="29">
        <v>5</v>
      </c>
      <c r="F77" s="29">
        <v>1</v>
      </c>
      <c r="G77" s="29">
        <v>1</v>
      </c>
    </row>
    <row r="78" ht="20.05" customHeight="1">
      <c r="A78" s="12"/>
      <c r="B78" s="13"/>
      <c r="C78" t="s" s="28">
        <v>96</v>
      </c>
      <c r="D78" s="29">
        <v>0</v>
      </c>
      <c r="E78" s="29">
        <v>3</v>
      </c>
      <c r="F78" s="29">
        <v>0</v>
      </c>
      <c r="G78" s="29">
        <v>0</v>
      </c>
    </row>
    <row r="79" ht="20.05" customHeight="1">
      <c r="A79" s="12"/>
      <c r="B79" t="s" s="27">
        <v>1265</v>
      </c>
      <c r="C79" t="s" s="28">
        <v>817</v>
      </c>
      <c r="D79" s="29">
        <v>0</v>
      </c>
      <c r="E79" s="29">
        <v>3</v>
      </c>
      <c r="F79" s="29">
        <v>0</v>
      </c>
      <c r="G79" s="29">
        <v>1</v>
      </c>
    </row>
    <row r="80" ht="20.05" customHeight="1">
      <c r="A80" s="12"/>
      <c r="B80" s="13"/>
      <c r="C80" t="s" s="28">
        <v>822</v>
      </c>
      <c r="D80" s="29">
        <v>0</v>
      </c>
      <c r="E80" s="29">
        <v>3</v>
      </c>
      <c r="F80" s="29">
        <v>0</v>
      </c>
      <c r="G80" s="29">
        <v>0</v>
      </c>
    </row>
    <row r="81" ht="20.05" customHeight="1">
      <c r="A81" s="12"/>
      <c r="B81" s="13"/>
      <c r="C81" t="s" s="28">
        <v>823</v>
      </c>
      <c r="D81" s="29">
        <v>0</v>
      </c>
      <c r="E81" s="29">
        <v>2</v>
      </c>
      <c r="F81" s="29">
        <v>1</v>
      </c>
      <c r="G81" s="29">
        <v>0</v>
      </c>
    </row>
    <row r="82" ht="20.05" customHeight="1">
      <c r="A82" s="12"/>
      <c r="B82" s="13"/>
      <c r="C82" t="s" s="28">
        <v>601</v>
      </c>
      <c r="D82" s="29">
        <v>1</v>
      </c>
      <c r="E82" s="29">
        <v>14</v>
      </c>
      <c r="F82" s="29">
        <v>1</v>
      </c>
      <c r="G82" s="29">
        <v>1</v>
      </c>
    </row>
    <row r="83" ht="20.05" customHeight="1">
      <c r="A83" s="12"/>
      <c r="B83" s="13"/>
      <c r="C83" t="s" s="28">
        <v>824</v>
      </c>
      <c r="D83" s="29">
        <v>0</v>
      </c>
      <c r="E83" s="29">
        <v>1</v>
      </c>
      <c r="F83" s="29">
        <v>0</v>
      </c>
      <c r="G83" s="29">
        <v>0</v>
      </c>
    </row>
    <row r="84" ht="20.05" customHeight="1">
      <c r="A84" s="12"/>
      <c r="B84" s="13"/>
      <c r="C84" t="s" s="28">
        <v>1266</v>
      </c>
      <c r="D84" s="29">
        <v>0</v>
      </c>
      <c r="E84" s="29">
        <v>1</v>
      </c>
      <c r="F84" s="29">
        <v>0</v>
      </c>
      <c r="G84" s="29">
        <v>0</v>
      </c>
    </row>
    <row r="85" ht="20.05" customHeight="1">
      <c r="A85" s="12"/>
      <c r="B85" s="13"/>
      <c r="C85" t="s" s="28">
        <v>100</v>
      </c>
      <c r="D85" s="29">
        <v>0</v>
      </c>
      <c r="E85" s="29">
        <v>3</v>
      </c>
      <c r="F85" s="29">
        <v>0</v>
      </c>
      <c r="G85" s="29">
        <v>0</v>
      </c>
    </row>
    <row r="86" ht="23.95" customHeight="1">
      <c r="A86" s="12"/>
      <c r="B86" t="s" s="27">
        <v>818</v>
      </c>
      <c r="C86" t="s" s="28">
        <v>819</v>
      </c>
      <c r="D86" s="29">
        <v>0</v>
      </c>
      <c r="E86" s="29">
        <v>3</v>
      </c>
      <c r="F86" s="29">
        <v>0</v>
      </c>
      <c r="G86" s="29">
        <v>0</v>
      </c>
    </row>
    <row r="87" ht="20.05" customHeight="1">
      <c r="A87" s="12"/>
      <c r="B87" t="s" s="27">
        <v>1267</v>
      </c>
      <c r="C87" t="s" s="28">
        <v>97</v>
      </c>
      <c r="D87" s="29">
        <v>0</v>
      </c>
      <c r="E87" s="29">
        <v>4</v>
      </c>
      <c r="F87" s="29">
        <v>1</v>
      </c>
      <c r="G87" s="29">
        <v>0</v>
      </c>
    </row>
    <row r="88" ht="20.05" customHeight="1">
      <c r="A88" s="12"/>
      <c r="B88" s="13"/>
      <c r="C88" t="s" s="28">
        <v>1268</v>
      </c>
      <c r="D88" s="29">
        <v>0</v>
      </c>
      <c r="E88" s="29">
        <v>2</v>
      </c>
      <c r="F88" s="29">
        <v>0</v>
      </c>
      <c r="G88" s="29">
        <v>0</v>
      </c>
    </row>
    <row r="89" ht="20.05" customHeight="1">
      <c r="A89" s="12"/>
      <c r="B89" s="13"/>
      <c r="C89" t="s" s="28">
        <v>1269</v>
      </c>
      <c r="D89" s="29">
        <v>0</v>
      </c>
      <c r="E89" s="29">
        <v>1</v>
      </c>
      <c r="F89" s="29">
        <v>0</v>
      </c>
      <c r="G89" s="29">
        <v>0</v>
      </c>
    </row>
    <row r="90" ht="20.05" customHeight="1">
      <c r="A90" t="s" s="15">
        <v>50</v>
      </c>
      <c r="B90" t="s" s="16">
        <v>815</v>
      </c>
      <c r="C90" t="s" s="17">
        <v>596</v>
      </c>
      <c r="D90" s="18">
        <v>2</v>
      </c>
      <c r="E90" s="18">
        <v>8</v>
      </c>
      <c r="F90" s="18">
        <v>0</v>
      </c>
      <c r="G90" s="18">
        <v>1</v>
      </c>
    </row>
    <row r="91" ht="20.05" customHeight="1">
      <c r="A91" s="12"/>
      <c r="B91" s="13"/>
      <c r="C91" t="s" s="17">
        <v>61</v>
      </c>
      <c r="D91" s="18">
        <v>1</v>
      </c>
      <c r="E91" s="18">
        <v>6</v>
      </c>
      <c r="F91" s="18">
        <v>1</v>
      </c>
      <c r="G91" s="18">
        <v>1</v>
      </c>
    </row>
    <row r="92" ht="20.05" customHeight="1">
      <c r="A92" s="12"/>
      <c r="B92" s="13"/>
      <c r="C92" t="s" s="17">
        <v>62</v>
      </c>
      <c r="D92" s="18">
        <v>0</v>
      </c>
      <c r="E92" s="18">
        <v>4</v>
      </c>
      <c r="F92" s="18">
        <v>0</v>
      </c>
      <c r="G92" s="18">
        <v>1</v>
      </c>
    </row>
    <row r="93" ht="20.05" customHeight="1">
      <c r="A93" s="12"/>
      <c r="B93" s="13"/>
      <c r="C93" t="s" s="17">
        <v>63</v>
      </c>
      <c r="D93" s="18">
        <v>0</v>
      </c>
      <c r="E93" s="18">
        <v>4</v>
      </c>
      <c r="F93" s="18">
        <v>0</v>
      </c>
      <c r="G93" s="18">
        <v>0</v>
      </c>
    </row>
    <row r="94" ht="20.05" customHeight="1">
      <c r="A94" s="12"/>
      <c r="B94" s="13"/>
      <c r="C94" t="s" s="17">
        <v>64</v>
      </c>
      <c r="D94" s="18">
        <v>2</v>
      </c>
      <c r="E94" s="18">
        <v>5</v>
      </c>
      <c r="F94" s="18">
        <v>0</v>
      </c>
      <c r="G94" s="18">
        <v>0</v>
      </c>
    </row>
    <row r="95" ht="20.05" customHeight="1">
      <c r="A95" s="12"/>
      <c r="B95" t="s" s="16">
        <v>51</v>
      </c>
      <c r="C95" t="s" s="17">
        <v>52</v>
      </c>
      <c r="D95" s="18">
        <v>0</v>
      </c>
      <c r="E95" s="18">
        <v>6</v>
      </c>
      <c r="F95" s="18">
        <v>0</v>
      </c>
      <c r="G95" s="18">
        <v>1</v>
      </c>
    </row>
    <row r="96" ht="20.05" customHeight="1">
      <c r="A96" s="12"/>
      <c r="B96" s="13"/>
      <c r="C96" t="s" s="17">
        <v>53</v>
      </c>
      <c r="D96" s="18">
        <v>0</v>
      </c>
      <c r="E96" s="18">
        <v>4</v>
      </c>
      <c r="F96" s="18">
        <v>0</v>
      </c>
      <c r="G96" s="18">
        <v>0</v>
      </c>
    </row>
    <row r="97" ht="20.05" customHeight="1">
      <c r="A97" s="12"/>
      <c r="B97" t="s" s="16">
        <v>65</v>
      </c>
      <c r="C97" t="s" s="17">
        <v>60</v>
      </c>
      <c r="D97" s="18">
        <v>0</v>
      </c>
      <c r="E97" s="18">
        <v>1</v>
      </c>
      <c r="F97" s="18">
        <v>1</v>
      </c>
      <c r="G97" s="18">
        <v>0</v>
      </c>
    </row>
    <row r="98" ht="20.05" customHeight="1">
      <c r="A98" s="12"/>
      <c r="B98" s="13"/>
      <c r="C98" t="s" s="17">
        <v>65</v>
      </c>
      <c r="D98" s="18">
        <v>0</v>
      </c>
      <c r="E98" s="18">
        <v>4</v>
      </c>
      <c r="F98" s="18">
        <v>0</v>
      </c>
      <c r="G98" s="18">
        <v>0</v>
      </c>
    </row>
    <row r="99" ht="23.95" customHeight="1">
      <c r="A99" s="12"/>
      <c r="B99" t="s" s="16">
        <v>70</v>
      </c>
      <c r="C99" t="s" s="17">
        <v>69</v>
      </c>
      <c r="D99" s="18">
        <v>1</v>
      </c>
      <c r="E99" s="18">
        <v>8</v>
      </c>
      <c r="F99" s="18">
        <v>0</v>
      </c>
      <c r="G99" s="18">
        <v>0</v>
      </c>
    </row>
    <row r="100" ht="20.05" customHeight="1">
      <c r="A100" s="12"/>
      <c r="B100" t="s" s="16">
        <v>1270</v>
      </c>
      <c r="C100" t="s" s="17">
        <v>1271</v>
      </c>
      <c r="D100" s="18">
        <v>0</v>
      </c>
      <c r="E100" s="18">
        <v>3</v>
      </c>
      <c r="F100" s="18">
        <v>0</v>
      </c>
      <c r="G100" s="18">
        <v>0</v>
      </c>
    </row>
    <row r="101" ht="20.05" customHeight="1">
      <c r="A101" s="12"/>
      <c r="B101" s="13"/>
      <c r="C101" t="s" s="17">
        <v>1272</v>
      </c>
      <c r="D101" s="18">
        <v>0</v>
      </c>
      <c r="E101" s="18">
        <v>2</v>
      </c>
      <c r="F101" s="18">
        <v>0</v>
      </c>
      <c r="G101" s="18">
        <v>0</v>
      </c>
    </row>
    <row r="102" ht="20.05" customHeight="1">
      <c r="A102" t="s" s="30">
        <v>1273</v>
      </c>
      <c r="B102" t="s" s="31">
        <v>1274</v>
      </c>
      <c r="C102" t="s" s="32">
        <v>1275</v>
      </c>
      <c r="D102" s="33">
        <v>0</v>
      </c>
      <c r="E102" s="33">
        <v>3</v>
      </c>
      <c r="F102" s="33">
        <v>0</v>
      </c>
      <c r="G102" s="33">
        <v>0</v>
      </c>
    </row>
    <row r="103" ht="20.05" customHeight="1">
      <c r="A103" s="12"/>
      <c r="B103" s="13"/>
      <c r="C103" t="s" s="32">
        <v>48</v>
      </c>
      <c r="D103" s="33">
        <v>0</v>
      </c>
      <c r="E103" s="33">
        <v>1</v>
      </c>
      <c r="F103" s="33">
        <v>1</v>
      </c>
      <c r="G103" s="33">
        <v>1</v>
      </c>
    </row>
    <row r="104" ht="20.05" customHeight="1">
      <c r="A104" s="12"/>
      <c r="B104" s="13"/>
      <c r="C104" t="s" s="32">
        <v>987</v>
      </c>
      <c r="D104" s="33">
        <v>0</v>
      </c>
      <c r="E104" s="33">
        <v>1</v>
      </c>
      <c r="F104" s="33">
        <v>0</v>
      </c>
      <c r="G104" s="33">
        <v>0</v>
      </c>
    </row>
    <row r="105" ht="20.05" customHeight="1">
      <c r="A105" s="12"/>
      <c r="B105" s="13"/>
      <c r="C105" t="s" s="32">
        <v>1276</v>
      </c>
      <c r="D105" s="33">
        <v>0</v>
      </c>
      <c r="E105" s="33">
        <v>4</v>
      </c>
      <c r="F105" s="33">
        <v>0</v>
      </c>
      <c r="G105" s="33">
        <v>0</v>
      </c>
    </row>
    <row r="106" ht="20.05" customHeight="1">
      <c r="A106" s="12"/>
      <c r="B106" t="s" s="31">
        <v>1277</v>
      </c>
      <c r="C106" t="s" s="32">
        <v>1278</v>
      </c>
      <c r="D106" s="33">
        <v>0</v>
      </c>
      <c r="E106" s="33">
        <v>8</v>
      </c>
      <c r="F106" s="33">
        <v>0</v>
      </c>
      <c r="G106" s="33">
        <v>0</v>
      </c>
    </row>
    <row r="107" ht="20.05" customHeight="1">
      <c r="A107" s="12"/>
      <c r="B107" s="13"/>
      <c r="C107" t="s" s="32">
        <v>1279</v>
      </c>
      <c r="D107" s="33">
        <v>0</v>
      </c>
      <c r="E107" s="33">
        <v>5</v>
      </c>
      <c r="F107" s="33">
        <v>0</v>
      </c>
      <c r="G107" s="33">
        <v>0</v>
      </c>
    </row>
    <row r="108" ht="20.05" customHeight="1">
      <c r="A108" s="12"/>
      <c r="B108" s="13"/>
      <c r="C108" t="s" s="32">
        <v>1280</v>
      </c>
      <c r="D108" s="33">
        <v>0</v>
      </c>
      <c r="E108" s="33">
        <v>1</v>
      </c>
      <c r="F108" s="33">
        <v>0</v>
      </c>
      <c r="G108" s="33">
        <v>0</v>
      </c>
    </row>
    <row r="109" ht="20.05" customHeight="1">
      <c r="A109" s="12"/>
      <c r="B109" t="s" s="31">
        <v>1281</v>
      </c>
      <c r="C109" t="s" s="32">
        <v>1282</v>
      </c>
      <c r="D109" s="33">
        <v>0</v>
      </c>
      <c r="E109" s="33">
        <v>3</v>
      </c>
      <c r="F109" s="33">
        <v>0</v>
      </c>
      <c r="G109" s="33">
        <v>0</v>
      </c>
    </row>
    <row r="110" ht="20.05" customHeight="1">
      <c r="A110" s="12"/>
      <c r="B110" s="13"/>
      <c r="C110" t="s" s="32">
        <v>1283</v>
      </c>
      <c r="D110" s="33">
        <v>0</v>
      </c>
      <c r="E110" s="33">
        <v>1</v>
      </c>
      <c r="F110" s="33">
        <v>0</v>
      </c>
      <c r="G110" s="33">
        <v>0</v>
      </c>
    </row>
    <row r="111" ht="20.05" customHeight="1">
      <c r="A111" s="12"/>
      <c r="B111" s="13"/>
      <c r="C111" t="s" s="32">
        <v>1284</v>
      </c>
      <c r="D111" s="33">
        <v>0</v>
      </c>
      <c r="E111" s="33">
        <v>0</v>
      </c>
      <c r="F111" s="33">
        <v>0</v>
      </c>
      <c r="G111" s="33">
        <v>0</v>
      </c>
    </row>
    <row r="112" ht="20.05" customHeight="1">
      <c r="A112" t="s" s="36">
        <v>1285</v>
      </c>
      <c r="B112" t="s" s="37">
        <v>1286</v>
      </c>
      <c r="C112" t="s" s="38">
        <v>1287</v>
      </c>
      <c r="D112" s="39">
        <v>0</v>
      </c>
      <c r="E112" s="39">
        <v>4</v>
      </c>
      <c r="F112" s="39">
        <v>0</v>
      </c>
      <c r="G112" s="39">
        <v>0</v>
      </c>
    </row>
    <row r="113" ht="20.05" customHeight="1">
      <c r="A113" s="12"/>
      <c r="B113" s="13"/>
      <c r="C113" t="s" s="38">
        <v>1288</v>
      </c>
      <c r="D113" s="39">
        <v>0</v>
      </c>
      <c r="E113" s="39">
        <v>1</v>
      </c>
      <c r="F113" s="39">
        <v>0</v>
      </c>
      <c r="G113" s="39">
        <v>0</v>
      </c>
    </row>
    <row r="114" ht="20.05" customHeight="1">
      <c r="A114" s="12"/>
      <c r="B114" s="13"/>
      <c r="C114" t="s" s="38">
        <v>1289</v>
      </c>
      <c r="D114" s="39">
        <v>0</v>
      </c>
      <c r="E114" s="39">
        <v>3</v>
      </c>
      <c r="F114" s="39">
        <v>0</v>
      </c>
      <c r="G114" s="39">
        <v>0</v>
      </c>
    </row>
    <row r="115" ht="20.05" customHeight="1">
      <c r="A115" s="12"/>
      <c r="B115" s="13"/>
      <c r="C115" t="s" s="38">
        <v>1290</v>
      </c>
      <c r="D115" s="39">
        <v>0</v>
      </c>
      <c r="E115" s="39">
        <v>9</v>
      </c>
      <c r="F115" s="39">
        <v>0</v>
      </c>
      <c r="G115" s="39">
        <v>0</v>
      </c>
    </row>
    <row r="116" ht="20.05" customHeight="1">
      <c r="A116" s="12"/>
      <c r="B116" t="s" s="37">
        <v>1291</v>
      </c>
      <c r="C116" t="s" s="38">
        <v>1292</v>
      </c>
      <c r="D116" s="39">
        <v>0</v>
      </c>
      <c r="E116" s="39">
        <v>2</v>
      </c>
      <c r="F116" s="39">
        <v>0</v>
      </c>
      <c r="G116" s="39">
        <v>0</v>
      </c>
    </row>
    <row r="117" ht="20.05" customHeight="1">
      <c r="A117" s="12"/>
      <c r="B117" s="13"/>
      <c r="C117" t="s" s="38">
        <v>767</v>
      </c>
      <c r="D117" s="39">
        <v>0</v>
      </c>
      <c r="E117" s="39">
        <v>6</v>
      </c>
      <c r="F117" s="39">
        <v>0</v>
      </c>
      <c r="G117" s="39">
        <v>0</v>
      </c>
    </row>
    <row r="118" ht="20.05" customHeight="1">
      <c r="A118" s="12"/>
      <c r="B118" s="13"/>
      <c r="C118" t="s" s="38">
        <v>1293</v>
      </c>
      <c r="D118" s="39">
        <v>0</v>
      </c>
      <c r="E118" s="39">
        <v>10</v>
      </c>
      <c r="F118" s="39">
        <v>0</v>
      </c>
      <c r="G118" s="39">
        <v>0</v>
      </c>
    </row>
    <row r="119" ht="20.05" customHeight="1">
      <c r="A119" s="12"/>
      <c r="B119" s="13"/>
      <c r="C119" t="s" s="38">
        <v>1294</v>
      </c>
      <c r="D119" s="39">
        <v>0</v>
      </c>
      <c r="E119" s="39">
        <v>7</v>
      </c>
      <c r="F119" s="39">
        <v>0</v>
      </c>
      <c r="G119" s="39">
        <v>0</v>
      </c>
    </row>
    <row r="120" ht="20.05" customHeight="1">
      <c r="A120" s="12"/>
      <c r="B120" s="13"/>
      <c r="C120" t="s" s="38">
        <v>766</v>
      </c>
      <c r="D120" s="39">
        <v>0</v>
      </c>
      <c r="E120" s="39">
        <v>1</v>
      </c>
      <c r="F120" s="39">
        <v>0</v>
      </c>
      <c r="G120" s="39">
        <v>0</v>
      </c>
    </row>
    <row r="121" ht="20.05" customHeight="1">
      <c r="A121" s="12"/>
      <c r="B121" s="13"/>
      <c r="C121" t="s" s="38">
        <v>1295</v>
      </c>
      <c r="D121" s="39">
        <v>0</v>
      </c>
      <c r="E121" s="39">
        <v>3</v>
      </c>
      <c r="F121" s="39">
        <v>0</v>
      </c>
      <c r="G121" s="39">
        <v>0</v>
      </c>
    </row>
    <row r="122" ht="20.05" customHeight="1">
      <c r="A122" s="12"/>
      <c r="B122" t="s" s="37">
        <v>1296</v>
      </c>
      <c r="C122" t="s" s="38">
        <v>1297</v>
      </c>
      <c r="D122" s="39">
        <v>0</v>
      </c>
      <c r="E122" s="39">
        <v>1</v>
      </c>
      <c r="F122" s="39">
        <v>0</v>
      </c>
      <c r="G122" s="39">
        <v>0</v>
      </c>
    </row>
    <row r="123" ht="20.05" customHeight="1">
      <c r="A123" s="12"/>
      <c r="B123" s="13"/>
      <c r="C123" t="s" s="38">
        <v>1298</v>
      </c>
      <c r="D123" s="39">
        <v>0</v>
      </c>
      <c r="E123" s="39">
        <v>3</v>
      </c>
      <c r="F123" s="39">
        <v>0</v>
      </c>
      <c r="G123" s="39">
        <v>0</v>
      </c>
    </row>
    <row r="124" ht="20.05" customHeight="1">
      <c r="A124" s="12"/>
      <c r="B124" s="13"/>
      <c r="C124" t="s" s="38">
        <v>1299</v>
      </c>
      <c r="D124" s="39">
        <v>0</v>
      </c>
      <c r="E124" s="39">
        <v>5</v>
      </c>
      <c r="F124" s="39">
        <v>0</v>
      </c>
      <c r="G124" s="39">
        <v>0</v>
      </c>
    </row>
    <row r="125" ht="20.05" customHeight="1">
      <c r="A125" s="12"/>
      <c r="B125" s="13"/>
      <c r="C125" t="s" s="38">
        <v>1300</v>
      </c>
      <c r="D125" s="39">
        <v>0</v>
      </c>
      <c r="E125" s="39">
        <v>2</v>
      </c>
      <c r="F125" s="39">
        <v>0</v>
      </c>
      <c r="G125" s="39">
        <v>0</v>
      </c>
    </row>
    <row r="126" ht="20.05" customHeight="1">
      <c r="A126" s="12"/>
      <c r="B126" s="13"/>
      <c r="C126" t="s" s="38">
        <v>1301</v>
      </c>
      <c r="D126" s="39">
        <v>0</v>
      </c>
      <c r="E126" s="39">
        <v>3</v>
      </c>
      <c r="F126" s="39">
        <v>0</v>
      </c>
      <c r="G126" s="39">
        <v>0</v>
      </c>
    </row>
    <row r="127" ht="20.05" customHeight="1">
      <c r="A127" s="12"/>
      <c r="B127" t="s" s="37">
        <v>1302</v>
      </c>
      <c r="C127" t="s" s="38">
        <v>525</v>
      </c>
      <c r="D127" s="39">
        <v>0</v>
      </c>
      <c r="E127" s="39">
        <v>2</v>
      </c>
      <c r="F127" s="39">
        <v>0</v>
      </c>
      <c r="G127" s="39">
        <v>0</v>
      </c>
    </row>
    <row r="128" ht="20.05" customHeight="1">
      <c r="A128" s="12"/>
      <c r="B128" s="13"/>
      <c r="C128" t="s" s="38">
        <v>1303</v>
      </c>
      <c r="D128" s="39">
        <v>0</v>
      </c>
      <c r="E128" s="206">
        <v>0</v>
      </c>
      <c r="F128" s="39">
        <v>0</v>
      </c>
      <c r="G128" s="39">
        <v>0</v>
      </c>
    </row>
    <row r="129" ht="20.05" customHeight="1">
      <c r="A129" s="12"/>
      <c r="B129" s="13"/>
      <c r="C129" t="s" s="38">
        <v>102</v>
      </c>
      <c r="D129" s="39">
        <v>0</v>
      </c>
      <c r="E129" s="39">
        <v>4</v>
      </c>
      <c r="F129" s="39">
        <v>0</v>
      </c>
      <c r="G129" s="39">
        <v>0</v>
      </c>
    </row>
    <row r="130" ht="20.05" customHeight="1">
      <c r="A130" s="12"/>
      <c r="B130" s="13"/>
      <c r="C130" t="s" s="38">
        <v>1304</v>
      </c>
      <c r="D130" s="39">
        <v>0</v>
      </c>
      <c r="E130" s="39">
        <v>5</v>
      </c>
      <c r="F130" s="39">
        <v>0</v>
      </c>
      <c r="G130" s="39">
        <v>0</v>
      </c>
    </row>
    <row r="131" ht="20.05" customHeight="1">
      <c r="A131" t="s" s="40">
        <v>1305</v>
      </c>
      <c r="B131" t="s" s="41">
        <v>239</v>
      </c>
      <c r="C131" t="s" s="42">
        <v>1306</v>
      </c>
      <c r="D131" s="43">
        <v>0</v>
      </c>
      <c r="E131" s="43">
        <v>5</v>
      </c>
      <c r="F131" s="43">
        <v>0</v>
      </c>
      <c r="G131" s="43">
        <v>0</v>
      </c>
    </row>
    <row r="132" ht="20.05" customHeight="1">
      <c r="A132" s="12"/>
      <c r="B132" s="13"/>
      <c r="C132" t="s" s="42">
        <v>241</v>
      </c>
      <c r="D132" s="43">
        <v>0</v>
      </c>
      <c r="E132" s="43">
        <v>16</v>
      </c>
      <c r="F132" s="43">
        <v>0</v>
      </c>
      <c r="G132" s="43">
        <v>0</v>
      </c>
    </row>
    <row r="133" ht="20.05" customHeight="1">
      <c r="A133" s="12"/>
      <c r="B133" s="13"/>
      <c r="C133" t="s" s="42">
        <v>242</v>
      </c>
      <c r="D133" s="43">
        <v>0</v>
      </c>
      <c r="E133" s="43">
        <v>31</v>
      </c>
      <c r="F133" s="43">
        <v>0</v>
      </c>
      <c r="G133" s="43">
        <v>0</v>
      </c>
    </row>
    <row r="134" ht="20.05" customHeight="1">
      <c r="A134" s="12"/>
      <c r="B134" s="13"/>
      <c r="C134" t="s" s="42">
        <v>243</v>
      </c>
      <c r="D134" s="43">
        <v>0</v>
      </c>
      <c r="E134" s="43">
        <v>5</v>
      </c>
      <c r="F134" s="43">
        <v>0</v>
      </c>
      <c r="G134" s="43">
        <v>0</v>
      </c>
    </row>
    <row r="135" ht="20.05" customHeight="1">
      <c r="A135" s="12"/>
      <c r="B135" s="13"/>
      <c r="C135" t="s" s="42">
        <v>244</v>
      </c>
      <c r="D135" s="43">
        <v>0</v>
      </c>
      <c r="E135" s="43">
        <v>6</v>
      </c>
      <c r="F135" s="43">
        <v>0</v>
      </c>
      <c r="G135" s="43">
        <v>0</v>
      </c>
    </row>
    <row r="136" ht="20.05" customHeight="1">
      <c r="A136" s="12"/>
      <c r="B136" s="13"/>
      <c r="C136" t="s" s="42">
        <v>1307</v>
      </c>
      <c r="D136" s="43">
        <v>0</v>
      </c>
      <c r="E136" s="43">
        <v>10</v>
      </c>
      <c r="F136" s="43">
        <v>0</v>
      </c>
      <c r="G136" s="43">
        <v>0</v>
      </c>
    </row>
    <row r="137" ht="20.05" customHeight="1">
      <c r="A137" s="12"/>
      <c r="B137" t="s" s="41">
        <v>1308</v>
      </c>
      <c r="C137" t="s" s="42">
        <v>1309</v>
      </c>
      <c r="D137" s="43">
        <v>0</v>
      </c>
      <c r="E137" s="43">
        <v>1</v>
      </c>
      <c r="F137" s="43">
        <v>0</v>
      </c>
      <c r="G137" s="43">
        <v>0</v>
      </c>
    </row>
    <row r="138" ht="20.05" customHeight="1">
      <c r="A138" s="12"/>
      <c r="B138" s="13"/>
      <c r="C138" t="s" s="42">
        <v>1310</v>
      </c>
      <c r="D138" s="43">
        <v>0</v>
      </c>
      <c r="E138" s="206">
        <v>0</v>
      </c>
      <c r="F138" s="43">
        <v>0</v>
      </c>
      <c r="G138" s="43">
        <v>0</v>
      </c>
    </row>
    <row r="139" ht="20.05" customHeight="1">
      <c r="A139" s="12"/>
      <c r="B139" s="13"/>
      <c r="C139" t="s" s="42">
        <v>1311</v>
      </c>
      <c r="D139" s="43">
        <v>0</v>
      </c>
      <c r="E139" s="43">
        <v>6</v>
      </c>
      <c r="F139" s="43">
        <v>0</v>
      </c>
      <c r="G139" s="43">
        <v>0</v>
      </c>
    </row>
    <row r="140" ht="20.05" customHeight="1">
      <c r="A140" s="12"/>
      <c r="B140" s="13"/>
      <c r="C140" t="s" s="42">
        <v>1312</v>
      </c>
      <c r="D140" s="43">
        <v>0</v>
      </c>
      <c r="E140" s="43">
        <v>4</v>
      </c>
      <c r="F140" s="43">
        <v>0</v>
      </c>
      <c r="G140" s="43">
        <v>0</v>
      </c>
    </row>
    <row r="141" ht="20.05" customHeight="1">
      <c r="A141" s="12"/>
      <c r="B141" s="13"/>
      <c r="C141" t="s" s="42">
        <v>1313</v>
      </c>
      <c r="D141" s="43">
        <v>0</v>
      </c>
      <c r="E141" s="206">
        <v>0</v>
      </c>
      <c r="F141" s="43">
        <v>0</v>
      </c>
      <c r="G141" s="43">
        <v>0</v>
      </c>
    </row>
    <row r="142" ht="20.05" customHeight="1">
      <c r="A142" s="12"/>
      <c r="B142" t="s" s="41">
        <v>1314</v>
      </c>
      <c r="C142" t="s" s="42">
        <v>1315</v>
      </c>
      <c r="D142" s="43">
        <v>0</v>
      </c>
      <c r="E142" s="43">
        <v>2</v>
      </c>
      <c r="F142" s="43">
        <v>0</v>
      </c>
      <c r="G142" s="43">
        <v>0</v>
      </c>
    </row>
    <row r="143" ht="20.05" customHeight="1">
      <c r="A143" s="12"/>
      <c r="B143" s="13"/>
      <c r="C143" t="s" s="42">
        <v>1316</v>
      </c>
      <c r="D143" s="43">
        <v>0</v>
      </c>
      <c r="E143" s="43">
        <v>9</v>
      </c>
      <c r="F143" s="43">
        <v>0</v>
      </c>
      <c r="G143" s="43">
        <v>0</v>
      </c>
    </row>
    <row r="144" ht="20.05" customHeight="1">
      <c r="A144" s="12"/>
      <c r="B144" s="13"/>
      <c r="C144" t="s" s="42">
        <v>1317</v>
      </c>
      <c r="D144" s="43">
        <v>0</v>
      </c>
      <c r="E144" s="43">
        <v>2</v>
      </c>
      <c r="F144" s="43">
        <v>0</v>
      </c>
      <c r="G144" s="43">
        <v>0</v>
      </c>
    </row>
    <row r="145" ht="20.05" customHeight="1">
      <c r="A145" s="12"/>
      <c r="B145" t="s" s="41">
        <v>1318</v>
      </c>
      <c r="C145" t="s" s="42">
        <v>1319</v>
      </c>
      <c r="D145" s="43">
        <v>0</v>
      </c>
      <c r="E145" s="43">
        <v>15</v>
      </c>
      <c r="F145" s="43">
        <v>0</v>
      </c>
      <c r="G145" s="43">
        <v>0</v>
      </c>
    </row>
    <row r="146" ht="20.05" customHeight="1">
      <c r="A146" s="12"/>
      <c r="B146" s="13"/>
      <c r="C146" t="s" s="42">
        <v>1320</v>
      </c>
      <c r="D146" s="43">
        <v>0</v>
      </c>
      <c r="E146" s="43">
        <v>1</v>
      </c>
      <c r="F146" s="43">
        <v>0</v>
      </c>
      <c r="G146" s="43">
        <v>0</v>
      </c>
    </row>
    <row r="147" ht="20.05" customHeight="1">
      <c r="A147" s="12"/>
      <c r="B147" s="13"/>
      <c r="C147" t="s" s="42">
        <v>1321</v>
      </c>
      <c r="D147" s="43">
        <v>0</v>
      </c>
      <c r="E147" s="43">
        <v>2</v>
      </c>
      <c r="F147" s="43">
        <v>0</v>
      </c>
      <c r="G147" s="43">
        <v>0</v>
      </c>
    </row>
    <row r="148" ht="20.05" customHeight="1">
      <c r="A148" s="12"/>
      <c r="B148" s="13"/>
      <c r="C148" t="s" s="42">
        <v>1322</v>
      </c>
      <c r="D148" s="43">
        <v>0</v>
      </c>
      <c r="E148" s="43">
        <v>1</v>
      </c>
      <c r="F148" s="43">
        <v>0</v>
      </c>
      <c r="G148" s="43">
        <v>0</v>
      </c>
    </row>
    <row r="149" ht="20.05" customHeight="1">
      <c r="A149" s="12"/>
      <c r="B149" s="13"/>
      <c r="C149" t="s" s="42">
        <v>1323</v>
      </c>
      <c r="D149" s="43">
        <v>0</v>
      </c>
      <c r="E149" s="43">
        <v>3</v>
      </c>
      <c r="F149" s="43">
        <v>0</v>
      </c>
      <c r="G149" s="43">
        <v>0</v>
      </c>
    </row>
    <row r="150" ht="20.05" customHeight="1">
      <c r="A150" s="12"/>
      <c r="B150" t="s" s="41">
        <v>1324</v>
      </c>
      <c r="C150" t="s" s="42">
        <v>1325</v>
      </c>
      <c r="D150" s="43">
        <v>0</v>
      </c>
      <c r="E150" s="43">
        <v>1</v>
      </c>
      <c r="F150" s="43">
        <v>0</v>
      </c>
      <c r="G150" s="43">
        <v>0</v>
      </c>
    </row>
    <row r="151" ht="20.05" customHeight="1">
      <c r="A151" s="12"/>
      <c r="B151" s="13"/>
      <c r="C151" t="s" s="42">
        <v>91</v>
      </c>
      <c r="D151" s="43">
        <v>0</v>
      </c>
      <c r="E151" s="43">
        <v>2</v>
      </c>
      <c r="F151" s="43">
        <v>0</v>
      </c>
      <c r="G151" s="43">
        <v>0</v>
      </c>
    </row>
    <row r="152" ht="20.05" customHeight="1">
      <c r="A152" s="12"/>
      <c r="B152" s="13"/>
      <c r="C152" t="s" s="42">
        <v>1326</v>
      </c>
      <c r="D152" s="43">
        <v>0</v>
      </c>
      <c r="E152" s="43">
        <v>5</v>
      </c>
      <c r="F152" s="43">
        <v>0</v>
      </c>
      <c r="G152" s="43">
        <v>0</v>
      </c>
    </row>
    <row r="153" ht="20.05" customHeight="1">
      <c r="A153" t="s" s="44">
        <v>1327</v>
      </c>
      <c r="B153" t="s" s="45">
        <v>1328</v>
      </c>
      <c r="C153" t="s" s="46">
        <v>1329</v>
      </c>
      <c r="D153" s="47">
        <v>0</v>
      </c>
      <c r="E153" s="206">
        <v>0</v>
      </c>
      <c r="F153" s="47">
        <v>0</v>
      </c>
      <c r="G153" s="47">
        <v>0</v>
      </c>
    </row>
    <row r="154" ht="20.05" customHeight="1">
      <c r="A154" s="12"/>
      <c r="B154" s="13"/>
      <c r="C154" t="s" s="46">
        <v>1330</v>
      </c>
      <c r="D154" s="47">
        <v>0</v>
      </c>
      <c r="E154" s="47">
        <v>9</v>
      </c>
      <c r="F154" s="47">
        <v>0</v>
      </c>
      <c r="G154" s="47">
        <v>0</v>
      </c>
    </row>
    <row r="155" ht="20.05" customHeight="1">
      <c r="A155" s="12"/>
      <c r="B155" s="13"/>
      <c r="C155" t="s" s="46">
        <v>1331</v>
      </c>
      <c r="D155" s="47">
        <v>0</v>
      </c>
      <c r="E155" s="47">
        <v>1</v>
      </c>
      <c r="F155" s="47">
        <v>0</v>
      </c>
      <c r="G155" s="47">
        <v>0</v>
      </c>
    </row>
    <row r="156" ht="20.05" customHeight="1">
      <c r="A156" s="12"/>
      <c r="B156" t="s" s="45">
        <v>1332</v>
      </c>
      <c r="C156" t="s" s="46">
        <v>1333</v>
      </c>
      <c r="D156" s="47">
        <v>0</v>
      </c>
      <c r="E156" s="47">
        <v>2</v>
      </c>
      <c r="F156" s="47">
        <v>0</v>
      </c>
      <c r="G156" s="47">
        <v>0</v>
      </c>
    </row>
    <row r="157" ht="20.05" customHeight="1">
      <c r="A157" s="12"/>
      <c r="B157" s="13"/>
      <c r="C157" t="s" s="46">
        <v>1334</v>
      </c>
      <c r="D157" s="47">
        <v>0</v>
      </c>
      <c r="E157" s="206">
        <v>0</v>
      </c>
      <c r="F157" s="47">
        <v>0</v>
      </c>
      <c r="G157" s="47">
        <v>0</v>
      </c>
    </row>
    <row r="158" ht="20.05" customHeight="1">
      <c r="A158" s="12"/>
      <c r="B158" s="13"/>
      <c r="C158" t="s" s="46">
        <v>1335</v>
      </c>
      <c r="D158" s="47">
        <v>0</v>
      </c>
      <c r="E158" s="206">
        <v>0</v>
      </c>
      <c r="F158" s="47">
        <v>0</v>
      </c>
      <c r="G158" s="47">
        <v>0</v>
      </c>
    </row>
    <row r="159" ht="20.05" customHeight="1">
      <c r="A159" s="12"/>
      <c r="B159" s="13"/>
      <c r="C159" t="s" s="46">
        <v>1336</v>
      </c>
      <c r="D159" s="47">
        <v>0</v>
      </c>
      <c r="E159" s="47">
        <v>7</v>
      </c>
      <c r="F159" s="47">
        <v>0</v>
      </c>
      <c r="G159" s="47">
        <v>0</v>
      </c>
    </row>
    <row r="160" ht="20.05" customHeight="1">
      <c r="A160" s="12"/>
      <c r="B160" t="s" s="45">
        <v>1337</v>
      </c>
      <c r="C160" t="s" s="46">
        <v>1338</v>
      </c>
      <c r="D160" s="47">
        <v>0</v>
      </c>
      <c r="E160" s="47">
        <v>1</v>
      </c>
      <c r="F160" s="47">
        <v>0</v>
      </c>
      <c r="G160" s="47">
        <v>0</v>
      </c>
    </row>
    <row r="161" ht="20.05" customHeight="1">
      <c r="A161" s="12"/>
      <c r="B161" s="13"/>
      <c r="C161" t="s" s="46">
        <v>1225</v>
      </c>
      <c r="D161" s="47">
        <v>0</v>
      </c>
      <c r="E161" s="47">
        <v>2</v>
      </c>
      <c r="F161" s="47">
        <v>0</v>
      </c>
      <c r="G161" s="47">
        <v>0</v>
      </c>
    </row>
    <row r="162" ht="20.05" customHeight="1">
      <c r="A162" s="12"/>
      <c r="B162" s="13"/>
      <c r="C162" t="s" s="46">
        <v>1339</v>
      </c>
      <c r="D162" s="47">
        <v>0</v>
      </c>
      <c r="E162" s="206">
        <v>0</v>
      </c>
      <c r="F162" s="47">
        <v>0</v>
      </c>
      <c r="G162" s="47">
        <v>0</v>
      </c>
    </row>
    <row r="163" ht="20.05" customHeight="1">
      <c r="A163" s="12"/>
      <c r="B163" s="13"/>
      <c r="C163" t="s" s="46">
        <v>1340</v>
      </c>
      <c r="D163" s="47">
        <v>0</v>
      </c>
      <c r="E163" s="206">
        <v>0</v>
      </c>
      <c r="F163" s="47">
        <v>0</v>
      </c>
      <c r="G163" s="47">
        <v>0</v>
      </c>
    </row>
    <row r="164" ht="20.05" customHeight="1">
      <c r="A164" t="s" s="50">
        <v>1341</v>
      </c>
      <c r="B164" t="s" s="51">
        <v>1342</v>
      </c>
      <c r="C164" t="s" s="52">
        <v>1343</v>
      </c>
      <c r="D164" s="53">
        <v>0</v>
      </c>
      <c r="E164" s="206">
        <v>0</v>
      </c>
      <c r="F164" s="53">
        <v>0</v>
      </c>
      <c r="G164" s="53">
        <v>0</v>
      </c>
    </row>
    <row r="165" ht="20.05" customHeight="1">
      <c r="A165" s="12"/>
      <c r="B165" s="13"/>
      <c r="C165" t="s" s="52">
        <v>1344</v>
      </c>
      <c r="D165" s="53">
        <v>0</v>
      </c>
      <c r="E165" s="206">
        <v>0</v>
      </c>
      <c r="F165" s="53">
        <v>0</v>
      </c>
      <c r="G165" s="53">
        <v>0</v>
      </c>
    </row>
    <row r="166" ht="20.05" customHeight="1">
      <c r="A166" s="12"/>
      <c r="B166" s="13"/>
      <c r="C166" t="s" s="52">
        <v>1345</v>
      </c>
      <c r="D166" s="53">
        <v>0</v>
      </c>
      <c r="E166" s="206">
        <v>0</v>
      </c>
      <c r="F166" s="53">
        <v>0</v>
      </c>
      <c r="G166" s="53">
        <v>0</v>
      </c>
    </row>
    <row r="167" ht="20.05" customHeight="1">
      <c r="A167" s="12"/>
      <c r="B167" s="13"/>
      <c r="C167" t="s" s="52">
        <v>1346</v>
      </c>
      <c r="D167" s="53">
        <v>0</v>
      </c>
      <c r="E167" s="53">
        <v>3</v>
      </c>
      <c r="F167" s="53">
        <v>0</v>
      </c>
      <c r="G167" s="53">
        <v>0</v>
      </c>
    </row>
    <row r="168" ht="20.05" customHeight="1">
      <c r="A168" s="12"/>
      <c r="B168" t="s" s="51">
        <v>1347</v>
      </c>
      <c r="C168" t="s" s="52">
        <v>1348</v>
      </c>
      <c r="D168" s="206">
        <v>0</v>
      </c>
      <c r="E168" s="53">
        <v>2</v>
      </c>
      <c r="F168" s="53">
        <v>0</v>
      </c>
      <c r="G168" s="53">
        <v>0</v>
      </c>
    </row>
    <row r="169" ht="20.05" customHeight="1">
      <c r="A169" s="12"/>
      <c r="B169" s="13"/>
      <c r="C169" t="s" s="52">
        <v>1349</v>
      </c>
      <c r="D169" s="206">
        <v>0</v>
      </c>
      <c r="E169" s="53">
        <v>1</v>
      </c>
      <c r="F169" s="53">
        <v>0</v>
      </c>
      <c r="G169" s="53">
        <v>0</v>
      </c>
    </row>
    <row r="170" ht="20.05" customHeight="1">
      <c r="A170" s="12"/>
      <c r="B170" s="13"/>
      <c r="C170" t="s" s="52">
        <v>1350</v>
      </c>
      <c r="D170" s="206">
        <v>0</v>
      </c>
      <c r="E170" s="53">
        <v>4</v>
      </c>
      <c r="F170" s="53">
        <v>0</v>
      </c>
      <c r="G170" s="53">
        <v>0</v>
      </c>
    </row>
    <row r="171" ht="20.05" customHeight="1">
      <c r="A171" s="12"/>
      <c r="B171" s="13"/>
      <c r="C171" t="s" s="52">
        <v>1351</v>
      </c>
      <c r="D171" s="53">
        <v>0</v>
      </c>
      <c r="E171" s="53">
        <v>4</v>
      </c>
      <c r="F171" s="53">
        <v>0</v>
      </c>
      <c r="G171" s="53">
        <v>0</v>
      </c>
    </row>
    <row r="172" ht="20.05" customHeight="1">
      <c r="A172" s="12"/>
      <c r="B172" t="s" s="51">
        <v>1352</v>
      </c>
      <c r="C172" t="s" s="52">
        <v>1353</v>
      </c>
      <c r="D172" s="53">
        <v>0</v>
      </c>
      <c r="E172" s="53">
        <v>1</v>
      </c>
      <c r="F172" s="53">
        <v>0</v>
      </c>
      <c r="G172" s="53">
        <v>0</v>
      </c>
    </row>
    <row r="173" ht="20.45" customHeight="1">
      <c r="A173" s="12"/>
      <c r="B173" s="13"/>
      <c r="C173" t="s" s="52">
        <v>1354</v>
      </c>
      <c r="D173" s="53">
        <v>0</v>
      </c>
      <c r="E173" s="206">
        <v>0</v>
      </c>
      <c r="F173" s="53">
        <v>0</v>
      </c>
      <c r="G173" s="53">
        <v>0</v>
      </c>
    </row>
    <row r="174" ht="20.45" customHeight="1">
      <c r="A174" s="12"/>
      <c r="B174" s="13"/>
      <c r="C174" t="s" s="52">
        <v>1355</v>
      </c>
      <c r="D174" s="53">
        <v>0</v>
      </c>
      <c r="E174" s="53">
        <v>2</v>
      </c>
      <c r="F174" s="53">
        <v>0</v>
      </c>
      <c r="G174" s="53">
        <v>0</v>
      </c>
    </row>
    <row r="175" ht="20.45" customHeight="1">
      <c r="A175" s="12"/>
      <c r="B175" s="13"/>
      <c r="C175" t="s" s="52">
        <v>1356</v>
      </c>
      <c r="D175" s="53">
        <v>0</v>
      </c>
      <c r="E175" s="53">
        <v>1</v>
      </c>
      <c r="F175" s="53">
        <v>0</v>
      </c>
      <c r="G175" s="53">
        <v>0</v>
      </c>
    </row>
    <row r="176" ht="20.45" customHeight="1">
      <c r="A176" s="12"/>
      <c r="B176" s="13"/>
      <c r="C176" t="s" s="52">
        <v>1357</v>
      </c>
      <c r="D176" s="53">
        <v>0</v>
      </c>
      <c r="E176" s="53">
        <v>1</v>
      </c>
      <c r="F176" s="53">
        <v>0</v>
      </c>
      <c r="G176" s="53">
        <v>0</v>
      </c>
    </row>
    <row r="177" ht="20.05" customHeight="1">
      <c r="A177" t="s" s="26">
        <v>1358</v>
      </c>
      <c r="B177" t="s" s="55">
        <v>1359</v>
      </c>
      <c r="C177" t="s" s="28">
        <v>1360</v>
      </c>
      <c r="D177" s="29">
        <v>0</v>
      </c>
      <c r="E177" s="29">
        <v>5</v>
      </c>
      <c r="F177" s="29">
        <v>0</v>
      </c>
      <c r="G177" s="29">
        <v>0</v>
      </c>
    </row>
    <row r="178" ht="20.05" customHeight="1">
      <c r="A178" s="12"/>
      <c r="B178" s="13"/>
      <c r="C178" t="s" s="28">
        <v>1361</v>
      </c>
      <c r="D178" s="29">
        <v>0</v>
      </c>
      <c r="E178" s="206">
        <v>0</v>
      </c>
      <c r="F178" s="29">
        <v>0</v>
      </c>
      <c r="G178" s="29">
        <v>0</v>
      </c>
    </row>
    <row r="179" ht="20.05" customHeight="1">
      <c r="A179" s="12"/>
      <c r="B179" s="13"/>
      <c r="C179" t="s" s="28">
        <v>1362</v>
      </c>
      <c r="D179" s="29">
        <v>0</v>
      </c>
      <c r="E179" s="29">
        <v>5</v>
      </c>
      <c r="F179" s="29">
        <v>0</v>
      </c>
      <c r="G179" s="29">
        <v>0</v>
      </c>
    </row>
    <row r="180" ht="20.05" customHeight="1">
      <c r="A180" s="12"/>
      <c r="B180" t="s" s="55">
        <v>1363</v>
      </c>
      <c r="C180" t="s" s="28">
        <v>1364</v>
      </c>
      <c r="D180" s="29">
        <v>0</v>
      </c>
      <c r="E180" s="29">
        <v>5</v>
      </c>
      <c r="F180" s="29">
        <v>0</v>
      </c>
      <c r="G180" s="29">
        <v>0</v>
      </c>
    </row>
    <row r="181" ht="20.05" customHeight="1">
      <c r="A181" s="12"/>
      <c r="B181" s="13"/>
      <c r="C181" t="s" s="28">
        <v>1365</v>
      </c>
      <c r="D181" s="29">
        <v>0</v>
      </c>
      <c r="E181" s="29">
        <v>3</v>
      </c>
      <c r="F181" s="29">
        <v>0</v>
      </c>
      <c r="G181" s="29">
        <v>0</v>
      </c>
    </row>
    <row r="182" ht="20.05" customHeight="1">
      <c r="A182" s="12"/>
      <c r="B182" s="13"/>
      <c r="C182" t="s" s="28">
        <v>1366</v>
      </c>
      <c r="D182" s="29">
        <v>0</v>
      </c>
      <c r="E182" s="29">
        <v>6</v>
      </c>
      <c r="F182" s="29">
        <v>0</v>
      </c>
      <c r="G182" s="29">
        <v>0</v>
      </c>
    </row>
    <row r="183" ht="20.05" customHeight="1">
      <c r="A183" s="12"/>
      <c r="B183" s="13"/>
      <c r="C183" t="s" s="28">
        <v>1367</v>
      </c>
      <c r="D183" s="29">
        <v>0</v>
      </c>
      <c r="E183" s="29">
        <v>1</v>
      </c>
      <c r="F183" s="29">
        <v>0</v>
      </c>
      <c r="G183" s="29">
        <v>0</v>
      </c>
    </row>
    <row r="184" ht="22.95" customHeight="1">
      <c r="A184" s="12"/>
      <c r="B184" t="s" s="55">
        <v>1368</v>
      </c>
      <c r="C184" t="s" s="28">
        <v>1368</v>
      </c>
      <c r="D184" s="29">
        <v>0</v>
      </c>
      <c r="E184" s="29">
        <v>2</v>
      </c>
      <c r="F184" s="29">
        <v>0</v>
      </c>
      <c r="G184" s="29">
        <v>0</v>
      </c>
    </row>
    <row r="185" ht="20.05" customHeight="1">
      <c r="A185" t="s" s="30">
        <v>1369</v>
      </c>
      <c r="B185" t="s" s="57">
        <v>1370</v>
      </c>
      <c r="C185" t="s" s="32">
        <v>1371</v>
      </c>
      <c r="D185" s="33">
        <v>0</v>
      </c>
      <c r="E185" s="33">
        <v>2</v>
      </c>
      <c r="F185" s="33">
        <v>0</v>
      </c>
      <c r="G185" s="33">
        <v>0</v>
      </c>
    </row>
    <row r="186" ht="20.05" customHeight="1">
      <c r="A186" s="12"/>
      <c r="B186" s="13"/>
      <c r="C186" t="s" s="32">
        <v>1372</v>
      </c>
      <c r="D186" s="33">
        <v>0</v>
      </c>
      <c r="E186" s="33">
        <v>1</v>
      </c>
      <c r="F186" s="33">
        <v>0</v>
      </c>
      <c r="G186" s="33">
        <v>0</v>
      </c>
    </row>
    <row r="187" ht="20.05" customHeight="1">
      <c r="A187" s="12"/>
      <c r="B187" s="13"/>
      <c r="C187" t="s" s="32">
        <v>1373</v>
      </c>
      <c r="D187" s="33">
        <v>0</v>
      </c>
      <c r="E187" s="33">
        <v>3</v>
      </c>
      <c r="F187" s="33">
        <v>0</v>
      </c>
      <c r="G187" s="33">
        <v>0</v>
      </c>
    </row>
    <row r="188" ht="20.05" customHeight="1">
      <c r="A188" s="12"/>
      <c r="B188" s="13"/>
      <c r="C188" t="s" s="32">
        <v>1374</v>
      </c>
      <c r="D188" s="33">
        <v>0</v>
      </c>
      <c r="E188" s="33">
        <v>2</v>
      </c>
      <c r="F188" s="33">
        <v>0</v>
      </c>
      <c r="G188" s="33">
        <v>0</v>
      </c>
    </row>
    <row r="189" ht="20.05" customHeight="1">
      <c r="A189" s="12"/>
      <c r="B189" s="13"/>
      <c r="C189" t="s" s="32">
        <v>1375</v>
      </c>
      <c r="D189" s="33">
        <v>0</v>
      </c>
      <c r="E189" s="33">
        <v>3</v>
      </c>
      <c r="F189" s="33">
        <v>0</v>
      </c>
      <c r="G189" s="33">
        <v>0</v>
      </c>
    </row>
    <row r="190" ht="20.05" customHeight="1">
      <c r="A190" s="12"/>
      <c r="B190" s="13"/>
      <c r="C190" t="s" s="32">
        <v>1376</v>
      </c>
      <c r="D190" s="33">
        <v>0</v>
      </c>
      <c r="E190" s="33">
        <v>2</v>
      </c>
      <c r="F190" s="33">
        <v>0</v>
      </c>
      <c r="G190" s="33">
        <v>0</v>
      </c>
    </row>
    <row r="191" ht="20.05" customHeight="1">
      <c r="A191" s="12"/>
      <c r="B191" t="s" s="57">
        <v>1377</v>
      </c>
      <c r="C191" t="s" s="32">
        <v>1378</v>
      </c>
      <c r="D191" s="33">
        <v>0</v>
      </c>
      <c r="E191" s="33">
        <v>4</v>
      </c>
      <c r="F191" s="33">
        <v>0</v>
      </c>
      <c r="G191" s="33">
        <v>0</v>
      </c>
    </row>
    <row r="192" ht="20.05" customHeight="1">
      <c r="A192" s="12"/>
      <c r="B192" s="13"/>
      <c r="C192" t="s" s="32">
        <v>1379</v>
      </c>
      <c r="D192" s="33">
        <v>0</v>
      </c>
      <c r="E192" s="33">
        <v>2</v>
      </c>
      <c r="F192" s="33">
        <v>0</v>
      </c>
      <c r="G192" s="33">
        <v>0</v>
      </c>
    </row>
    <row r="193" ht="20.05" customHeight="1">
      <c r="A193" s="12"/>
      <c r="B193" s="13"/>
      <c r="C193" t="s" s="32">
        <v>1380</v>
      </c>
      <c r="D193" s="33">
        <v>0</v>
      </c>
      <c r="E193" s="33">
        <v>2</v>
      </c>
      <c r="F193" s="33">
        <v>0</v>
      </c>
      <c r="G193" s="33">
        <v>0</v>
      </c>
    </row>
    <row r="194" ht="20.15" customHeight="1">
      <c r="A194" s="12"/>
      <c r="B194" s="13"/>
      <c r="C194" t="s" s="32">
        <v>1381</v>
      </c>
      <c r="D194" s="33">
        <v>0</v>
      </c>
      <c r="E194" s="33">
        <v>3</v>
      </c>
      <c r="F194" s="33">
        <v>0</v>
      </c>
      <c r="G194" s="33">
        <v>0</v>
      </c>
    </row>
    <row r="195" ht="20.15" customHeight="1">
      <c r="A195" s="12"/>
      <c r="B195" s="13"/>
      <c r="C195" t="s" s="32">
        <v>1382</v>
      </c>
      <c r="D195" s="33">
        <v>0</v>
      </c>
      <c r="E195" s="33">
        <v>2</v>
      </c>
      <c r="F195" s="33">
        <v>0</v>
      </c>
      <c r="G195" s="33">
        <v>0</v>
      </c>
    </row>
    <row r="196" ht="22.95" customHeight="1">
      <c r="A196" t="s" s="36">
        <v>1383</v>
      </c>
      <c r="B196" t="s" s="58">
        <v>1384</v>
      </c>
      <c r="C196" t="s" s="38">
        <v>1385</v>
      </c>
      <c r="D196" s="39">
        <v>0</v>
      </c>
      <c r="E196" s="39">
        <v>0</v>
      </c>
      <c r="F196" s="39">
        <v>0</v>
      </c>
      <c r="G196" s="39">
        <v>0</v>
      </c>
    </row>
    <row r="197" ht="37.95" customHeight="1">
      <c r="A197" s="12"/>
      <c r="B197" t="s" s="58">
        <v>1386</v>
      </c>
      <c r="C197" t="s" s="38">
        <v>1387</v>
      </c>
      <c r="D197" s="39">
        <v>0</v>
      </c>
      <c r="E197" s="39">
        <v>0</v>
      </c>
      <c r="F197" s="39">
        <v>0</v>
      </c>
      <c r="G197" s="39">
        <v>0</v>
      </c>
    </row>
    <row r="198" ht="20.05" customHeight="1">
      <c r="A198" s="12"/>
      <c r="B198" t="s" s="58">
        <v>1388</v>
      </c>
      <c r="C198" t="s" s="38">
        <v>1389</v>
      </c>
      <c r="D198" s="39">
        <v>0</v>
      </c>
      <c r="E198" s="39">
        <v>1</v>
      </c>
      <c r="F198" s="39">
        <v>0</v>
      </c>
      <c r="G198" s="39">
        <v>0</v>
      </c>
    </row>
    <row r="199" ht="20.05" customHeight="1">
      <c r="A199" s="12"/>
      <c r="B199" s="13"/>
      <c r="C199" t="s" s="38">
        <v>1390</v>
      </c>
      <c r="D199" s="39">
        <v>0</v>
      </c>
      <c r="E199" s="39">
        <v>0</v>
      </c>
      <c r="F199" s="39">
        <v>0</v>
      </c>
      <c r="G199" s="39">
        <v>0</v>
      </c>
    </row>
    <row r="200" ht="20.05" customHeight="1">
      <c r="A200" s="12"/>
      <c r="B200" s="13"/>
      <c r="C200" t="s" s="38">
        <v>525</v>
      </c>
      <c r="D200" s="39">
        <v>0</v>
      </c>
      <c r="E200" s="39">
        <v>0</v>
      </c>
      <c r="F200" s="39">
        <v>0</v>
      </c>
      <c r="G200" s="39">
        <v>0</v>
      </c>
    </row>
    <row r="201" ht="20.05" customHeight="1">
      <c r="A201" s="12"/>
      <c r="B201" t="s" s="58">
        <v>1391</v>
      </c>
      <c r="C201" t="s" s="38">
        <v>90</v>
      </c>
      <c r="D201" s="39">
        <v>0</v>
      </c>
      <c r="E201" s="39">
        <v>4</v>
      </c>
      <c r="F201" s="39">
        <v>0</v>
      </c>
      <c r="G201" s="39">
        <v>0</v>
      </c>
    </row>
    <row r="202" ht="20.05" customHeight="1">
      <c r="A202" s="12"/>
      <c r="B202" s="13"/>
      <c r="C202" t="s" s="38">
        <v>91</v>
      </c>
      <c r="D202" s="39">
        <v>0</v>
      </c>
      <c r="E202" s="39">
        <v>2</v>
      </c>
      <c r="F202" s="39">
        <v>0</v>
      </c>
      <c r="G202" s="39">
        <v>0</v>
      </c>
    </row>
    <row r="203" ht="20.05" customHeight="1">
      <c r="A203" s="12"/>
      <c r="B203" t="s" s="58">
        <v>1392</v>
      </c>
      <c r="C203" t="s" s="38">
        <v>1393</v>
      </c>
      <c r="D203" s="39">
        <v>0</v>
      </c>
      <c r="E203" s="39">
        <v>1</v>
      </c>
      <c r="F203" s="39">
        <v>0</v>
      </c>
      <c r="G203" s="39">
        <v>0</v>
      </c>
    </row>
    <row r="204" ht="20.05" customHeight="1">
      <c r="A204" s="12"/>
      <c r="B204" s="13"/>
      <c r="C204" t="s" s="38">
        <v>1394</v>
      </c>
      <c r="D204" s="39">
        <v>0</v>
      </c>
      <c r="E204" s="39">
        <v>0</v>
      </c>
      <c r="F204" s="39">
        <v>0</v>
      </c>
      <c r="G204" s="39">
        <v>0</v>
      </c>
    </row>
    <row r="205" ht="20.05" customHeight="1">
      <c r="A205" s="12"/>
      <c r="B205" s="13"/>
      <c r="C205" t="s" s="38">
        <v>1395</v>
      </c>
      <c r="D205" s="39">
        <v>0</v>
      </c>
      <c r="E205" s="39">
        <v>1</v>
      </c>
      <c r="F205" s="39">
        <v>0</v>
      </c>
      <c r="G205" s="39">
        <v>0</v>
      </c>
    </row>
    <row r="206" ht="20.05" customHeight="1">
      <c r="A206" s="12"/>
      <c r="B206" s="13"/>
      <c r="C206" t="s" s="38">
        <v>436</v>
      </c>
      <c r="D206" s="39">
        <v>0</v>
      </c>
      <c r="E206" s="39">
        <v>4</v>
      </c>
      <c r="F206" s="39">
        <v>0</v>
      </c>
      <c r="G206" s="39">
        <v>0</v>
      </c>
    </row>
    <row r="207" ht="30.8" customHeight="1">
      <c r="A207" t="s" s="70">
        <v>448</v>
      </c>
      <c r="B207" s="13"/>
      <c r="C207" s="14"/>
      <c r="D207" s="71"/>
      <c r="E207" s="71"/>
      <c r="F207" s="71"/>
      <c r="G207" s="71"/>
    </row>
    <row r="209" ht="31.55" customHeight="1">
      <c r="H209" t="s" s="73">
        <v>1396</v>
      </c>
      <c r="I209" s="73"/>
      <c r="J209" s="73"/>
      <c r="K209" s="73"/>
      <c r="L209" s="73"/>
      <c r="M209" s="73"/>
      <c r="N209" s="73"/>
    </row>
    <row r="210" ht="44.25" customHeight="1">
      <c r="H210" s="4"/>
      <c r="I210" t="s" s="74">
        <v>2</v>
      </c>
      <c r="J210" t="s" s="74">
        <v>3</v>
      </c>
      <c r="K210" t="s" s="74">
        <v>4</v>
      </c>
      <c r="L210" t="s" s="74">
        <v>794</v>
      </c>
      <c r="M210" t="s" s="74">
        <v>451</v>
      </c>
      <c r="N210" t="s" s="74">
        <v>8</v>
      </c>
    </row>
    <row r="211" ht="20.25" customHeight="1">
      <c r="H211" t="s" s="75">
        <v>9</v>
      </c>
      <c r="I211" s="76">
        <v>4</v>
      </c>
      <c r="J211" s="77">
        <v>28</v>
      </c>
      <c r="K211" s="77">
        <f>SUM(D8:D31)</f>
        <v>17</v>
      </c>
      <c r="L211" s="77">
        <f>SUM(E8:E31)</f>
        <v>142</v>
      </c>
      <c r="M211" s="77">
        <f>SUM(F8:F31)</f>
        <v>10</v>
      </c>
      <c r="N211" s="77">
        <f>SUM(G8:G31)</f>
        <v>13</v>
      </c>
    </row>
    <row r="212" ht="20.05" customHeight="1">
      <c r="H212" t="s" s="78">
        <v>1247</v>
      </c>
      <c r="I212" s="79">
        <v>3</v>
      </c>
      <c r="J212" s="80">
        <v>18</v>
      </c>
      <c r="K212" s="80">
        <f>SUM(D51:D68)</f>
        <v>1</v>
      </c>
      <c r="L212" s="80">
        <f>SUM(E51:E68)</f>
        <v>104</v>
      </c>
      <c r="M212" s="80">
        <f>SUM(F51:F68)</f>
        <v>1</v>
      </c>
      <c r="N212" s="80">
        <f>SUM(G51:G68)</f>
        <v>4</v>
      </c>
    </row>
    <row r="213" ht="20.05" customHeight="1">
      <c r="H213" t="s" s="78">
        <v>77</v>
      </c>
      <c r="I213" s="79">
        <v>4</v>
      </c>
      <c r="J213" s="80">
        <v>6</v>
      </c>
      <c r="K213" s="80">
        <f>SUM(D69:D76)</f>
        <v>0</v>
      </c>
      <c r="L213" s="80">
        <f>SUM(E69:E76)</f>
        <v>37</v>
      </c>
      <c r="M213" s="80">
        <f>SUM(F69:F76)</f>
        <v>0</v>
      </c>
      <c r="N213" s="80">
        <f>SUM(G69:G76)</f>
        <v>0</v>
      </c>
    </row>
    <row r="214" ht="20.05" customHeight="1">
      <c r="H214" t="s" s="78">
        <v>92</v>
      </c>
      <c r="I214" s="79">
        <v>4</v>
      </c>
      <c r="J214" s="80">
        <v>13</v>
      </c>
      <c r="K214" s="80">
        <f>SUM(D77:D89)</f>
        <v>2</v>
      </c>
      <c r="L214" s="80">
        <f>SUM(E77:E89)</f>
        <v>45</v>
      </c>
      <c r="M214" s="80">
        <f>SUM(F77:F89)</f>
        <v>4</v>
      </c>
      <c r="N214" s="80">
        <f>SUM(G77:G89)</f>
        <v>3</v>
      </c>
    </row>
    <row r="215" ht="20.05" customHeight="1">
      <c r="H215" t="s" s="78">
        <v>50</v>
      </c>
      <c r="I215" s="79">
        <v>5</v>
      </c>
      <c r="J215" s="80">
        <v>12</v>
      </c>
      <c r="K215" s="80">
        <f>SUM(D90:D101)</f>
        <v>6</v>
      </c>
      <c r="L215" s="80">
        <f>SUM(E90:E101)</f>
        <v>55</v>
      </c>
      <c r="M215" s="80">
        <f>SUM(F90:F101)</f>
        <v>2</v>
      </c>
      <c r="N215" s="80">
        <f>SUM(G90:G101)</f>
        <v>4</v>
      </c>
    </row>
    <row r="216" ht="20.05" customHeight="1">
      <c r="H216" t="s" s="78">
        <v>1273</v>
      </c>
      <c r="I216" s="79">
        <v>3</v>
      </c>
      <c r="J216" s="80">
        <v>10</v>
      </c>
      <c r="K216" s="80">
        <f>SUM(D102:D111)</f>
        <v>0</v>
      </c>
      <c r="L216" s="80">
        <f>SUM(E102:E111)</f>
        <v>27</v>
      </c>
      <c r="M216" s="80">
        <f>SUM(F102:F111)</f>
        <v>1</v>
      </c>
      <c r="N216" s="80">
        <f>SUM(G102:G111)</f>
        <v>1</v>
      </c>
    </row>
    <row r="217" ht="20.05" customHeight="1">
      <c r="H217" t="s" s="78">
        <v>1285</v>
      </c>
      <c r="I217" s="79">
        <v>4</v>
      </c>
      <c r="J217" s="80">
        <v>19</v>
      </c>
      <c r="K217" s="80">
        <f>SUM(D112:D130)</f>
        <v>0</v>
      </c>
      <c r="L217" s="80">
        <f>SUM(E112:E130)</f>
        <v>71</v>
      </c>
      <c r="M217" s="80">
        <f>SUM(F112:F130)</f>
        <v>0</v>
      </c>
      <c r="N217" s="80">
        <f>SUM(G112:G130)</f>
        <v>0</v>
      </c>
    </row>
    <row r="218" ht="20.05" customHeight="1">
      <c r="H218" t="s" s="78">
        <v>1397</v>
      </c>
      <c r="I218" s="79">
        <v>5</v>
      </c>
      <c r="J218" s="80">
        <v>22</v>
      </c>
      <c r="K218" s="80">
        <f>SUM(D131:D152)</f>
        <v>0</v>
      </c>
      <c r="L218" s="80">
        <f>SUM(E131:E152)</f>
        <v>127</v>
      </c>
      <c r="M218" s="80">
        <f>SUM(F131:F152)</f>
        <v>0</v>
      </c>
      <c r="N218" s="80">
        <f>SUM(G131:G152)</f>
        <v>0</v>
      </c>
    </row>
    <row r="219" ht="20.05" customHeight="1">
      <c r="H219" t="s" s="78">
        <v>1327</v>
      </c>
      <c r="I219" s="79">
        <v>3</v>
      </c>
      <c r="J219" s="80">
        <v>11</v>
      </c>
      <c r="K219" s="80">
        <f>SUM(D153:D163)</f>
        <v>0</v>
      </c>
      <c r="L219" s="80">
        <f>SUM(E153:E163)</f>
        <v>22</v>
      </c>
      <c r="M219" s="80">
        <f>SUM(F153:F163)</f>
        <v>0</v>
      </c>
      <c r="N219" s="80">
        <f>SUM(G153:G163)</f>
        <v>0</v>
      </c>
    </row>
    <row r="220" ht="20.05" customHeight="1">
      <c r="H220" t="s" s="78">
        <v>1341</v>
      </c>
      <c r="I220" s="79">
        <v>3</v>
      </c>
      <c r="J220" s="80">
        <v>13</v>
      </c>
      <c r="K220" s="80">
        <f>SUM(D164:D176)</f>
        <v>0</v>
      </c>
      <c r="L220" s="80">
        <f>SUM(E164:E176)</f>
        <v>19</v>
      </c>
      <c r="M220" s="80">
        <f>SUM(F164:F176)</f>
        <v>0</v>
      </c>
      <c r="N220" s="80">
        <f>SUM(G164:G176)</f>
        <v>0</v>
      </c>
    </row>
    <row r="221" ht="20.05" customHeight="1">
      <c r="H221" t="s" s="78">
        <v>1358</v>
      </c>
      <c r="I221" s="79">
        <v>3</v>
      </c>
      <c r="J221" s="80">
        <v>8</v>
      </c>
      <c r="K221" s="80">
        <f>SUM(D177:D184)</f>
        <v>0</v>
      </c>
      <c r="L221" s="80">
        <f>SUM(E177:E184)</f>
        <v>27</v>
      </c>
      <c r="M221" s="80">
        <f>SUM(F177:F184)</f>
        <v>0</v>
      </c>
      <c r="N221" s="80">
        <f>SUM(G177:G184)</f>
        <v>0</v>
      </c>
    </row>
    <row r="222" ht="20.05" customHeight="1">
      <c r="H222" t="s" s="78">
        <v>1369</v>
      </c>
      <c r="I222" s="79">
        <v>2</v>
      </c>
      <c r="J222" s="80">
        <v>11</v>
      </c>
      <c r="K222" s="80">
        <f>SUM(D185:D195)</f>
        <v>0</v>
      </c>
      <c r="L222" s="80">
        <f>SUM(E185:E195)</f>
        <v>26</v>
      </c>
      <c r="M222" s="80">
        <f>SUM(F185:F195)</f>
        <v>0</v>
      </c>
      <c r="N222" s="80">
        <f>SUM(G185:G195)</f>
        <v>0</v>
      </c>
    </row>
    <row r="223" ht="20.05" customHeight="1">
      <c r="H223" t="s" s="78">
        <v>1383</v>
      </c>
      <c r="I223" s="79">
        <v>5</v>
      </c>
      <c r="J223" s="80">
        <v>9</v>
      </c>
      <c r="K223" s="80">
        <f>SUM(D196:D206)</f>
        <v>0</v>
      </c>
      <c r="L223" s="80">
        <f>SUM(E196:E206)</f>
        <v>13</v>
      </c>
      <c r="M223" s="80">
        <f>SUM(F196:F206)</f>
        <v>0</v>
      </c>
      <c r="N223" s="80">
        <f>SUM(G196:G206)</f>
        <v>0</v>
      </c>
    </row>
    <row r="224" ht="20.05" customHeight="1">
      <c r="H224" t="s" s="81">
        <v>448</v>
      </c>
      <c r="I224" s="82">
        <f>SUM(I211:I223)</f>
        <v>48</v>
      </c>
      <c r="J224" s="62">
        <f>SUM(J211:J223)</f>
        <v>180</v>
      </c>
      <c r="K224" s="83">
        <f>SUM(K211:K223)</f>
        <v>26</v>
      </c>
      <c r="L224" s="62">
        <f>SUM(L211:L223)</f>
        <v>715</v>
      </c>
      <c r="M224" s="84">
        <f>SUM(M211:M223)</f>
        <v>18</v>
      </c>
      <c r="N224" s="84">
        <f>SUM(N211:N223)</f>
        <v>25</v>
      </c>
    </row>
    <row r="225" ht="20.05" customHeight="1">
      <c r="H225" t="s" s="78">
        <v>466</v>
      </c>
      <c r="I225" s="85"/>
      <c r="J225" s="71"/>
      <c r="K225" s="71"/>
      <c r="L225" s="71"/>
      <c r="M225" s="29">
        <f>SUM(K224+M224)</f>
        <v>44</v>
      </c>
      <c r="N225" s="86"/>
    </row>
  </sheetData>
  <mergeCells count="62">
    <mergeCell ref="A1:G1"/>
    <mergeCell ref="B25:B31"/>
    <mergeCell ref="B102:B105"/>
    <mergeCell ref="B106:B108"/>
    <mergeCell ref="B109:B111"/>
    <mergeCell ref="B112:B115"/>
    <mergeCell ref="B131:B136"/>
    <mergeCell ref="B145:B149"/>
    <mergeCell ref="B150:B152"/>
    <mergeCell ref="B153:B155"/>
    <mergeCell ref="B160:B163"/>
    <mergeCell ref="B196"/>
    <mergeCell ref="B197"/>
    <mergeCell ref="B198:B200"/>
    <mergeCell ref="B203:B206"/>
    <mergeCell ref="B201:B202"/>
    <mergeCell ref="B177:B179"/>
    <mergeCell ref="B180:B183"/>
    <mergeCell ref="A196:A206"/>
    <mergeCell ref="B62:B68"/>
    <mergeCell ref="B57:B61"/>
    <mergeCell ref="B51:B56"/>
    <mergeCell ref="B90:B94"/>
    <mergeCell ref="B95:B96"/>
    <mergeCell ref="B97:B98"/>
    <mergeCell ref="B99"/>
    <mergeCell ref="B77:B78"/>
    <mergeCell ref="B191:B195"/>
    <mergeCell ref="B185:B190"/>
    <mergeCell ref="A185:A195"/>
    <mergeCell ref="B172:B176"/>
    <mergeCell ref="B168:B171"/>
    <mergeCell ref="B164:B167"/>
    <mergeCell ref="B156:B159"/>
    <mergeCell ref="B142:B144"/>
    <mergeCell ref="B137:B141"/>
    <mergeCell ref="B127:B130"/>
    <mergeCell ref="A112:A130"/>
    <mergeCell ref="B122:B126"/>
    <mergeCell ref="B116:B121"/>
    <mergeCell ref="B100:B101"/>
    <mergeCell ref="A102:A111"/>
    <mergeCell ref="B184"/>
    <mergeCell ref="A177:A184"/>
    <mergeCell ref="B69:B72"/>
    <mergeCell ref="B87:B89"/>
    <mergeCell ref="A77:A89"/>
    <mergeCell ref="A164:A176"/>
    <mergeCell ref="B79:B85"/>
    <mergeCell ref="A153:A163"/>
    <mergeCell ref="B8:B15"/>
    <mergeCell ref="B4:B7"/>
    <mergeCell ref="A69:A76"/>
    <mergeCell ref="B75:B76"/>
    <mergeCell ref="B16:B24"/>
    <mergeCell ref="A4:A31"/>
    <mergeCell ref="A51:A68"/>
    <mergeCell ref="A90:A101"/>
    <mergeCell ref="A131:A152"/>
    <mergeCell ref="B32:B42"/>
    <mergeCell ref="B43:B50"/>
    <mergeCell ref="H209:N209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2:N28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7578" style="208" customWidth="1"/>
    <col min="2" max="2" width="47.2188" style="208" customWidth="1"/>
    <col min="3" max="3" width="34.1406" style="208" customWidth="1"/>
    <col min="4" max="7" width="16.3516" style="208" customWidth="1"/>
    <col min="8" max="8" width="40.8203" style="222" customWidth="1"/>
    <col min="9" max="14" width="16.3516" style="222" customWidth="1"/>
    <col min="15" max="16384" width="16.3516" style="222" customWidth="1"/>
  </cols>
  <sheetData>
    <row r="1" ht="37.4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4"/>
      <c r="E2" s="4"/>
      <c r="F2" s="4"/>
      <c r="G2" s="4"/>
    </row>
    <row r="3" ht="32.25" customHeight="1">
      <c r="A3" t="s" s="5">
        <v>1</v>
      </c>
      <c r="B3" t="s" s="6">
        <v>2</v>
      </c>
      <c r="C3" t="s" s="7">
        <v>3</v>
      </c>
      <c r="D3" t="s" s="7">
        <v>4</v>
      </c>
      <c r="E3" t="s" s="7">
        <v>794</v>
      </c>
      <c r="F3" t="s" s="7">
        <v>7</v>
      </c>
      <c r="G3" t="s" s="7">
        <v>8</v>
      </c>
    </row>
    <row r="4" ht="20.05" customHeight="1">
      <c r="A4" t="s" s="8">
        <v>9</v>
      </c>
      <c r="B4" t="s" s="9">
        <v>1398</v>
      </c>
      <c r="C4" t="s" s="10">
        <v>17</v>
      </c>
      <c r="D4" s="11">
        <v>1</v>
      </c>
      <c r="E4" s="11">
        <v>13</v>
      </c>
      <c r="F4" s="11">
        <v>3</v>
      </c>
      <c r="G4" s="11">
        <v>1</v>
      </c>
    </row>
    <row r="5" ht="20.05" customHeight="1">
      <c r="A5" s="12"/>
      <c r="B5" s="13"/>
      <c r="C5" t="s" s="10">
        <v>18</v>
      </c>
      <c r="D5" s="11">
        <v>0</v>
      </c>
      <c r="E5" s="11">
        <v>3</v>
      </c>
      <c r="F5" s="11">
        <v>0</v>
      </c>
      <c r="G5" s="11">
        <v>0</v>
      </c>
    </row>
    <row r="6" ht="20.05" customHeight="1">
      <c r="A6" s="12"/>
      <c r="B6" s="13"/>
      <c r="C6" t="s" s="10">
        <v>19</v>
      </c>
      <c r="D6" s="11">
        <v>2</v>
      </c>
      <c r="E6" s="11">
        <v>15</v>
      </c>
      <c r="F6" s="11">
        <v>2</v>
      </c>
      <c r="G6" s="11">
        <v>1</v>
      </c>
    </row>
    <row r="7" ht="20.05" customHeight="1">
      <c r="A7" s="12"/>
      <c r="B7" s="13"/>
      <c r="C7" t="s" s="10">
        <v>20</v>
      </c>
      <c r="D7" s="11">
        <v>1</v>
      </c>
      <c r="E7" s="11">
        <v>9</v>
      </c>
      <c r="F7" s="11">
        <v>1</v>
      </c>
      <c r="G7" s="11">
        <v>1</v>
      </c>
    </row>
    <row r="8" ht="20.05" customHeight="1">
      <c r="A8" s="12"/>
      <c r="B8" s="13"/>
      <c r="C8" t="s" s="10">
        <v>21</v>
      </c>
      <c r="D8" s="11">
        <v>1</v>
      </c>
      <c r="E8" s="11">
        <v>10</v>
      </c>
      <c r="F8" s="11">
        <v>0</v>
      </c>
      <c r="G8" s="11">
        <v>1</v>
      </c>
    </row>
    <row r="9" ht="20.05" customHeight="1">
      <c r="A9" s="12"/>
      <c r="B9" s="13"/>
      <c r="C9" t="s" s="10">
        <v>22</v>
      </c>
      <c r="D9" s="11">
        <v>1</v>
      </c>
      <c r="E9" s="11">
        <v>6</v>
      </c>
      <c r="F9" s="11">
        <v>1</v>
      </c>
      <c r="G9" s="11">
        <v>1</v>
      </c>
    </row>
    <row r="10" ht="20.05" customHeight="1">
      <c r="A10" s="12"/>
      <c r="B10" s="13"/>
      <c r="C10" t="s" s="10">
        <v>806</v>
      </c>
      <c r="D10" s="11">
        <v>0</v>
      </c>
      <c r="E10" s="11">
        <v>2</v>
      </c>
      <c r="F10" s="11">
        <v>0</v>
      </c>
      <c r="G10" s="11">
        <v>1</v>
      </c>
    </row>
    <row r="11" ht="20.05" customHeight="1">
      <c r="A11" s="12"/>
      <c r="B11" s="13"/>
      <c r="C11" t="s" s="10">
        <v>11</v>
      </c>
      <c r="D11" s="11">
        <v>0</v>
      </c>
      <c r="E11" s="11">
        <v>2</v>
      </c>
      <c r="F11" s="11">
        <v>0</v>
      </c>
      <c r="G11" s="11">
        <v>0</v>
      </c>
    </row>
    <row r="12" ht="20.05" customHeight="1">
      <c r="A12" s="12"/>
      <c r="B12" t="s" s="9">
        <v>796</v>
      </c>
      <c r="C12" t="s" s="10">
        <v>796</v>
      </c>
      <c r="D12" s="11">
        <v>0</v>
      </c>
      <c r="E12" s="11">
        <v>4</v>
      </c>
      <c r="F12" s="11">
        <v>0</v>
      </c>
      <c r="G12" s="11">
        <v>0</v>
      </c>
    </row>
    <row r="13" ht="20.05" customHeight="1">
      <c r="A13" s="12"/>
      <c r="B13" s="13"/>
      <c r="C13" t="s" s="10">
        <v>41</v>
      </c>
      <c r="D13" s="11">
        <v>0</v>
      </c>
      <c r="E13" s="11">
        <v>4</v>
      </c>
      <c r="F13" s="11">
        <v>0</v>
      </c>
      <c r="G13" s="11">
        <v>1</v>
      </c>
    </row>
    <row r="14" ht="20.05" customHeight="1">
      <c r="A14" s="12"/>
      <c r="B14" t="s" s="9">
        <v>23</v>
      </c>
      <c r="C14" t="s" s="10">
        <v>24</v>
      </c>
      <c r="D14" s="11">
        <v>0</v>
      </c>
      <c r="E14" s="11">
        <v>14</v>
      </c>
      <c r="F14" s="11">
        <v>1</v>
      </c>
      <c r="G14" s="11">
        <v>1</v>
      </c>
    </row>
    <row r="15" ht="20.05" customHeight="1">
      <c r="A15" s="12"/>
      <c r="B15" s="13"/>
      <c r="C15" t="s" s="10">
        <v>25</v>
      </c>
      <c r="D15" s="11">
        <v>1</v>
      </c>
      <c r="E15" s="11">
        <v>4</v>
      </c>
      <c r="F15" s="11">
        <v>0</v>
      </c>
      <c r="G15" s="11">
        <v>1</v>
      </c>
    </row>
    <row r="16" ht="20.05" customHeight="1">
      <c r="A16" s="12"/>
      <c r="B16" s="13"/>
      <c r="C16" t="s" s="10">
        <v>26</v>
      </c>
      <c r="D16" s="11">
        <v>0</v>
      </c>
      <c r="E16" s="11">
        <v>3</v>
      </c>
      <c r="F16" s="11">
        <v>0</v>
      </c>
      <c r="G16" s="11">
        <v>1</v>
      </c>
    </row>
    <row r="17" ht="20.05" customHeight="1">
      <c r="A17" s="12"/>
      <c r="B17" s="13"/>
      <c r="C17" t="s" s="10">
        <v>27</v>
      </c>
      <c r="D17" s="11">
        <v>0</v>
      </c>
      <c r="E17" s="11">
        <v>4</v>
      </c>
      <c r="F17" s="11">
        <v>1</v>
      </c>
      <c r="G17" s="11">
        <v>1</v>
      </c>
    </row>
    <row r="18" ht="20.05" customHeight="1">
      <c r="A18" s="12"/>
      <c r="B18" s="13"/>
      <c r="C18" t="s" s="10">
        <v>28</v>
      </c>
      <c r="D18" s="11">
        <v>0</v>
      </c>
      <c r="E18" s="11">
        <v>3</v>
      </c>
      <c r="F18" s="11">
        <v>0</v>
      </c>
      <c r="G18" s="11">
        <v>0</v>
      </c>
    </row>
    <row r="19" ht="20.05" customHeight="1">
      <c r="A19" s="12"/>
      <c r="B19" s="13"/>
      <c r="C19" t="s" s="10">
        <v>807</v>
      </c>
      <c r="D19" s="11">
        <v>1</v>
      </c>
      <c r="E19" s="11">
        <v>2</v>
      </c>
      <c r="F19" s="11">
        <v>0</v>
      </c>
      <c r="G19" s="11">
        <v>0</v>
      </c>
    </row>
    <row r="20" ht="20.05" customHeight="1">
      <c r="A20" s="12"/>
      <c r="B20" s="13"/>
      <c r="C20" t="s" s="10">
        <v>808</v>
      </c>
      <c r="D20" s="11">
        <v>0</v>
      </c>
      <c r="E20" s="11">
        <v>2</v>
      </c>
      <c r="F20" s="11">
        <v>0</v>
      </c>
      <c r="G20" s="11">
        <v>1</v>
      </c>
    </row>
    <row r="21" ht="20.05" customHeight="1">
      <c r="A21" s="12"/>
      <c r="B21" s="13"/>
      <c r="C21" t="s" s="10">
        <v>593</v>
      </c>
      <c r="D21" s="11">
        <v>1</v>
      </c>
      <c r="E21" s="11">
        <v>5</v>
      </c>
      <c r="F21" s="11">
        <v>0</v>
      </c>
      <c r="G21" s="11">
        <v>1</v>
      </c>
    </row>
    <row r="22" ht="20.05" customHeight="1">
      <c r="A22" s="12"/>
      <c r="B22" t="s" s="9">
        <v>40</v>
      </c>
      <c r="C22" t="s" s="10">
        <v>43</v>
      </c>
      <c r="D22" s="11">
        <v>0</v>
      </c>
      <c r="E22" s="11">
        <v>1</v>
      </c>
      <c r="F22" s="11">
        <v>0</v>
      </c>
      <c r="G22" s="11">
        <v>1</v>
      </c>
    </row>
    <row r="23" ht="20.05" customHeight="1">
      <c r="A23" s="12"/>
      <c r="B23" s="13"/>
      <c r="C23" t="s" s="10">
        <v>44</v>
      </c>
      <c r="D23" s="11">
        <v>1</v>
      </c>
      <c r="E23" s="11">
        <v>5</v>
      </c>
      <c r="F23" s="11">
        <v>1</v>
      </c>
      <c r="G23" s="11">
        <v>1</v>
      </c>
    </row>
    <row r="24" ht="20.05" customHeight="1">
      <c r="A24" s="12"/>
      <c r="B24" s="13"/>
      <c r="C24" t="s" s="10">
        <v>45</v>
      </c>
      <c r="D24" s="11">
        <v>0</v>
      </c>
      <c r="E24" s="11">
        <v>2</v>
      </c>
      <c r="F24" s="11">
        <v>0</v>
      </c>
      <c r="G24" s="11">
        <v>0</v>
      </c>
    </row>
    <row r="25" ht="20.05" customHeight="1">
      <c r="A25" s="12"/>
      <c r="B25" s="13"/>
      <c r="C25" t="s" s="10">
        <v>46</v>
      </c>
      <c r="D25" s="11">
        <v>0</v>
      </c>
      <c r="E25" s="11">
        <v>2</v>
      </c>
      <c r="F25" s="11">
        <v>0</v>
      </c>
      <c r="G25" s="11">
        <v>1</v>
      </c>
    </row>
    <row r="26" ht="20.05" customHeight="1">
      <c r="A26" t="s" s="15">
        <v>50</v>
      </c>
      <c r="B26" t="s" s="16">
        <v>815</v>
      </c>
      <c r="C26" t="s" s="17">
        <v>596</v>
      </c>
      <c r="D26" s="18">
        <v>2</v>
      </c>
      <c r="E26" s="18">
        <v>8</v>
      </c>
      <c r="F26" s="18">
        <v>0</v>
      </c>
      <c r="G26" s="18">
        <v>1</v>
      </c>
    </row>
    <row r="27" ht="20.05" customHeight="1">
      <c r="A27" s="12"/>
      <c r="B27" s="13"/>
      <c r="C27" t="s" s="17">
        <v>61</v>
      </c>
      <c r="D27" s="18">
        <v>1</v>
      </c>
      <c r="E27" s="18">
        <v>6</v>
      </c>
      <c r="F27" s="18">
        <v>1</v>
      </c>
      <c r="G27" s="18">
        <v>1</v>
      </c>
    </row>
    <row r="28" ht="20.05" customHeight="1">
      <c r="A28" s="12"/>
      <c r="B28" s="13"/>
      <c r="C28" t="s" s="17">
        <v>62</v>
      </c>
      <c r="D28" s="18">
        <v>0</v>
      </c>
      <c r="E28" s="18">
        <v>4</v>
      </c>
      <c r="F28" s="18">
        <v>0</v>
      </c>
      <c r="G28" s="18">
        <v>1</v>
      </c>
    </row>
    <row r="29" ht="20.05" customHeight="1">
      <c r="A29" s="12"/>
      <c r="B29" s="13"/>
      <c r="C29" t="s" s="17">
        <v>64</v>
      </c>
      <c r="D29" s="18">
        <v>2</v>
      </c>
      <c r="E29" s="18">
        <v>5</v>
      </c>
      <c r="F29" s="18">
        <v>0</v>
      </c>
      <c r="G29" s="18">
        <v>0</v>
      </c>
    </row>
    <row r="30" ht="20.05" customHeight="1">
      <c r="A30" s="12"/>
      <c r="B30" t="s" s="16">
        <v>51</v>
      </c>
      <c r="C30" t="s" s="17">
        <v>52</v>
      </c>
      <c r="D30" s="18">
        <v>0</v>
      </c>
      <c r="E30" s="18">
        <v>6</v>
      </c>
      <c r="F30" s="18">
        <v>0</v>
      </c>
      <c r="G30" s="18">
        <v>1</v>
      </c>
    </row>
    <row r="31" ht="20.05" customHeight="1">
      <c r="A31" s="12"/>
      <c r="B31" s="13"/>
      <c r="C31" t="s" s="17">
        <v>53</v>
      </c>
      <c r="D31" s="18">
        <v>0</v>
      </c>
      <c r="E31" s="18">
        <v>4</v>
      </c>
      <c r="F31" s="18">
        <v>0</v>
      </c>
      <c r="G31" s="18">
        <v>0</v>
      </c>
    </row>
    <row r="32" ht="20.05" customHeight="1">
      <c r="A32" s="12"/>
      <c r="B32" t="s" s="16">
        <v>65</v>
      </c>
      <c r="C32" t="s" s="17">
        <v>60</v>
      </c>
      <c r="D32" s="18">
        <v>0</v>
      </c>
      <c r="E32" s="18">
        <v>1</v>
      </c>
      <c r="F32" s="18">
        <v>1</v>
      </c>
      <c r="G32" s="18">
        <v>0</v>
      </c>
    </row>
    <row r="33" ht="20.05" customHeight="1">
      <c r="A33" s="12"/>
      <c r="B33" s="13"/>
      <c r="C33" t="s" s="17">
        <v>1399</v>
      </c>
      <c r="D33" s="18">
        <v>0</v>
      </c>
      <c r="E33" s="18">
        <v>4</v>
      </c>
      <c r="F33" s="18">
        <v>0</v>
      </c>
      <c r="G33" s="18">
        <v>0</v>
      </c>
    </row>
    <row r="34" ht="23.95" customHeight="1">
      <c r="A34" s="12"/>
      <c r="B34" t="s" s="16">
        <v>1008</v>
      </c>
      <c r="C34" t="s" s="17">
        <v>69</v>
      </c>
      <c r="D34" s="18">
        <v>1</v>
      </c>
      <c r="E34" s="18">
        <v>8</v>
      </c>
      <c r="F34" s="18">
        <v>0</v>
      </c>
      <c r="G34" s="18">
        <v>0</v>
      </c>
    </row>
    <row r="35" ht="20.05" customHeight="1">
      <c r="A35" s="12"/>
      <c r="B35" t="s" s="16">
        <v>72</v>
      </c>
      <c r="C35" t="s" s="17">
        <v>63</v>
      </c>
      <c r="D35" s="18">
        <v>0</v>
      </c>
      <c r="E35" s="18">
        <v>4</v>
      </c>
      <c r="F35" s="18">
        <v>0</v>
      </c>
      <c r="G35" s="18">
        <v>0</v>
      </c>
    </row>
    <row r="36" ht="20.05" customHeight="1">
      <c r="A36" s="12"/>
      <c r="B36" s="13"/>
      <c r="C36" t="s" s="17">
        <v>1271</v>
      </c>
      <c r="D36" s="18">
        <v>0</v>
      </c>
      <c r="E36" s="18">
        <v>3</v>
      </c>
      <c r="F36" s="18">
        <v>0</v>
      </c>
      <c r="G36" s="18">
        <v>0</v>
      </c>
    </row>
    <row r="37" ht="20.05" customHeight="1">
      <c r="A37" t="s" s="19">
        <v>77</v>
      </c>
      <c r="B37" t="s" s="20">
        <v>78</v>
      </c>
      <c r="C37" t="s" s="21">
        <v>79</v>
      </c>
      <c r="D37" s="22">
        <v>0</v>
      </c>
      <c r="E37" s="22">
        <v>11</v>
      </c>
      <c r="F37" s="22">
        <v>0</v>
      </c>
      <c r="G37" s="22">
        <v>0</v>
      </c>
    </row>
    <row r="38" ht="20.05" customHeight="1">
      <c r="A38" s="12"/>
      <c r="B38" s="13"/>
      <c r="C38" t="s" s="21">
        <v>80</v>
      </c>
      <c r="D38" s="22">
        <v>0</v>
      </c>
      <c r="E38" s="22">
        <v>1</v>
      </c>
      <c r="F38" s="22">
        <v>0</v>
      </c>
      <c r="G38" s="22">
        <v>0</v>
      </c>
    </row>
    <row r="39" ht="20.05" customHeight="1">
      <c r="A39" s="12"/>
      <c r="B39" s="13"/>
      <c r="C39" t="s" s="21">
        <v>81</v>
      </c>
      <c r="D39" s="22">
        <v>0</v>
      </c>
      <c r="E39" s="22">
        <v>18</v>
      </c>
      <c r="F39" s="22">
        <v>0</v>
      </c>
      <c r="G39" s="22">
        <v>0</v>
      </c>
    </row>
    <row r="40" ht="32.05" customHeight="1">
      <c r="A40" s="12"/>
      <c r="B40" t="s" s="20">
        <v>82</v>
      </c>
      <c r="C40" t="s" s="21">
        <v>83</v>
      </c>
      <c r="D40" s="22">
        <v>0</v>
      </c>
      <c r="E40" s="22">
        <v>2</v>
      </c>
      <c r="F40" s="22">
        <v>0</v>
      </c>
      <c r="G40" s="22">
        <v>0</v>
      </c>
    </row>
    <row r="41" ht="20.05" customHeight="1">
      <c r="A41" s="12"/>
      <c r="B41" t="s" s="20">
        <v>1400</v>
      </c>
      <c r="C41" t="s" s="21">
        <v>1240</v>
      </c>
      <c r="D41" s="184"/>
      <c r="E41" s="184"/>
      <c r="F41" s="184"/>
      <c r="G41" s="184"/>
    </row>
    <row r="42" ht="20.05" customHeight="1">
      <c r="A42" s="12"/>
      <c r="B42" s="13"/>
      <c r="C42" t="s" s="21">
        <v>1401</v>
      </c>
      <c r="D42" s="184"/>
      <c r="E42" s="184"/>
      <c r="F42" s="184"/>
      <c r="G42" s="184"/>
    </row>
    <row r="43" ht="20.05" customHeight="1">
      <c r="A43" s="12"/>
      <c r="B43" s="13"/>
      <c r="C43" t="s" s="21">
        <v>1239</v>
      </c>
      <c r="D43" s="184"/>
      <c r="E43" s="184"/>
      <c r="F43" s="184"/>
      <c r="G43" s="184"/>
    </row>
    <row r="44" ht="20.05" customHeight="1">
      <c r="A44" s="12"/>
      <c r="B44" s="13"/>
      <c r="C44" t="s" s="21">
        <v>1402</v>
      </c>
      <c r="D44" s="184"/>
      <c r="E44" s="184"/>
      <c r="F44" s="184"/>
      <c r="G44" s="184"/>
    </row>
    <row r="45" ht="20.05" customHeight="1">
      <c r="A45" s="12"/>
      <c r="B45" s="13"/>
      <c r="C45" t="s" s="21">
        <v>1402</v>
      </c>
      <c r="D45" s="184"/>
      <c r="E45" s="184"/>
      <c r="F45" s="184"/>
      <c r="G45" s="184"/>
    </row>
    <row r="46" ht="20.05" customHeight="1">
      <c r="A46" s="12"/>
      <c r="B46" s="13"/>
      <c r="C46" t="s" s="21">
        <v>1403</v>
      </c>
      <c r="D46" s="184"/>
      <c r="E46" s="184"/>
      <c r="F46" s="184"/>
      <c r="G46" s="184"/>
    </row>
    <row r="47" ht="20.05" customHeight="1">
      <c r="A47" s="12"/>
      <c r="B47" s="13"/>
      <c r="C47" t="s" s="21">
        <v>1404</v>
      </c>
      <c r="D47" s="184"/>
      <c r="E47" s="184"/>
      <c r="F47" s="184"/>
      <c r="G47" s="184"/>
    </row>
    <row r="48" ht="20.05" customHeight="1">
      <c r="A48" s="12"/>
      <c r="B48" s="13"/>
      <c r="C48" t="s" s="21">
        <v>1196</v>
      </c>
      <c r="D48" s="184"/>
      <c r="E48" s="184"/>
      <c r="F48" s="184"/>
      <c r="G48" s="184"/>
    </row>
    <row r="49" ht="20.05" customHeight="1">
      <c r="A49" s="12"/>
      <c r="B49" t="s" s="20">
        <v>89</v>
      </c>
      <c r="C49" t="s" s="21">
        <v>91</v>
      </c>
      <c r="D49" s="22">
        <v>0</v>
      </c>
      <c r="E49" s="22">
        <v>2</v>
      </c>
      <c r="F49" s="22">
        <v>0</v>
      </c>
      <c r="G49" s="22">
        <v>0</v>
      </c>
    </row>
    <row r="50" ht="20.05" customHeight="1">
      <c r="A50" s="12"/>
      <c r="B50" s="13"/>
      <c r="C50" t="s" s="21">
        <v>1405</v>
      </c>
      <c r="D50" s="184"/>
      <c r="E50" s="184"/>
      <c r="F50" s="184"/>
      <c r="G50" s="184"/>
    </row>
    <row r="51" ht="20.05" customHeight="1">
      <c r="A51" s="12"/>
      <c r="B51" s="13"/>
      <c r="C51" t="s" s="21">
        <v>1406</v>
      </c>
      <c r="D51" s="184"/>
      <c r="E51" s="184"/>
      <c r="F51" s="184"/>
      <c r="G51" s="184"/>
    </row>
    <row r="52" ht="20.05" customHeight="1">
      <c r="A52" t="s" s="26">
        <v>92</v>
      </c>
      <c r="B52" t="s" s="27">
        <v>93</v>
      </c>
      <c r="C52" t="s" s="28">
        <v>816</v>
      </c>
      <c r="D52" s="29">
        <v>1</v>
      </c>
      <c r="E52" s="29">
        <v>5</v>
      </c>
      <c r="F52" s="29">
        <v>1</v>
      </c>
      <c r="G52" s="29">
        <v>1</v>
      </c>
    </row>
    <row r="53" ht="20.05" customHeight="1">
      <c r="A53" s="12"/>
      <c r="B53" s="13"/>
      <c r="C53" t="s" s="28">
        <v>817</v>
      </c>
      <c r="D53" s="29">
        <v>0</v>
      </c>
      <c r="E53" s="29">
        <v>3</v>
      </c>
      <c r="F53" s="29">
        <v>0</v>
      </c>
      <c r="G53" s="29">
        <v>1</v>
      </c>
    </row>
    <row r="54" ht="20.05" customHeight="1">
      <c r="A54" s="12"/>
      <c r="B54" s="13"/>
      <c r="C54" t="s" s="28">
        <v>96</v>
      </c>
      <c r="D54" s="29">
        <v>0</v>
      </c>
      <c r="E54" s="29">
        <v>3</v>
      </c>
      <c r="F54" s="29">
        <v>0</v>
      </c>
      <c r="G54" s="29">
        <v>0</v>
      </c>
    </row>
    <row r="55" ht="23.95" customHeight="1">
      <c r="A55" s="12"/>
      <c r="B55" t="s" s="27">
        <v>818</v>
      </c>
      <c r="C55" t="s" s="28">
        <v>819</v>
      </c>
      <c r="D55" s="29">
        <v>0</v>
      </c>
      <c r="E55" s="29">
        <v>3</v>
      </c>
      <c r="F55" s="29">
        <v>0</v>
      </c>
      <c r="G55" s="29">
        <v>0</v>
      </c>
    </row>
    <row r="56" ht="20.05" customHeight="1">
      <c r="A56" s="12"/>
      <c r="B56" t="s" s="27">
        <v>821</v>
      </c>
      <c r="C56" t="s" s="28">
        <v>822</v>
      </c>
      <c r="D56" s="29">
        <v>0</v>
      </c>
      <c r="E56" s="29">
        <v>3</v>
      </c>
      <c r="F56" s="29">
        <v>0</v>
      </c>
      <c r="G56" s="29">
        <v>0</v>
      </c>
    </row>
    <row r="57" ht="20.05" customHeight="1">
      <c r="A57" s="12"/>
      <c r="B57" s="13"/>
      <c r="C57" t="s" s="28">
        <v>823</v>
      </c>
      <c r="D57" s="29">
        <v>0</v>
      </c>
      <c r="E57" s="29">
        <v>2</v>
      </c>
      <c r="F57" s="29">
        <v>1</v>
      </c>
      <c r="G57" s="29">
        <v>0</v>
      </c>
    </row>
    <row r="58" ht="20.05" customHeight="1">
      <c r="A58" s="12"/>
      <c r="B58" s="13"/>
      <c r="C58" t="s" s="28">
        <v>601</v>
      </c>
      <c r="D58" s="29">
        <v>1</v>
      </c>
      <c r="E58" s="29">
        <v>14</v>
      </c>
      <c r="F58" s="29">
        <v>1</v>
      </c>
      <c r="G58" s="29">
        <v>1</v>
      </c>
    </row>
    <row r="59" ht="20.05" customHeight="1">
      <c r="A59" s="12"/>
      <c r="B59" s="13"/>
      <c r="C59" t="s" s="28">
        <v>824</v>
      </c>
      <c r="D59" s="29">
        <v>0</v>
      </c>
      <c r="E59" s="29">
        <v>1</v>
      </c>
      <c r="F59" s="29">
        <v>0</v>
      </c>
      <c r="G59" s="29">
        <v>0</v>
      </c>
    </row>
    <row r="60" ht="20.05" customHeight="1">
      <c r="A60" s="12"/>
      <c r="B60" t="s" s="27">
        <v>522</v>
      </c>
      <c r="C60" t="s" s="28">
        <v>1176</v>
      </c>
      <c r="D60" s="29">
        <v>0</v>
      </c>
      <c r="E60" s="29">
        <v>1</v>
      </c>
      <c r="F60" s="29">
        <v>0</v>
      </c>
      <c r="G60" s="29">
        <v>0</v>
      </c>
    </row>
    <row r="61" ht="20.05" customHeight="1">
      <c r="A61" s="12"/>
      <c r="B61" s="13"/>
      <c r="C61" t="s" s="28">
        <v>524</v>
      </c>
      <c r="D61" s="29">
        <v>0</v>
      </c>
      <c r="E61" s="29">
        <v>2</v>
      </c>
      <c r="F61" s="29">
        <v>0</v>
      </c>
      <c r="G61" s="29">
        <v>0</v>
      </c>
    </row>
    <row r="62" ht="20.05" customHeight="1">
      <c r="A62" s="12"/>
      <c r="B62" s="13"/>
      <c r="C62" t="s" s="28">
        <v>97</v>
      </c>
      <c r="D62" s="29">
        <v>0</v>
      </c>
      <c r="E62" s="29">
        <v>4</v>
      </c>
      <c r="F62" s="29">
        <v>1</v>
      </c>
      <c r="G62" s="29">
        <v>0</v>
      </c>
    </row>
    <row r="63" ht="39.95" customHeight="1">
      <c r="A63" t="s" s="30">
        <v>1407</v>
      </c>
      <c r="B63" t="s" s="31">
        <v>1408</v>
      </c>
      <c r="C63" t="s" s="32">
        <v>1409</v>
      </c>
      <c r="D63" s="209"/>
      <c r="E63" s="209"/>
      <c r="F63" s="209"/>
      <c r="G63" s="209"/>
    </row>
    <row r="64" ht="20.05" customHeight="1">
      <c r="A64" s="12"/>
      <c r="B64" t="s" s="31">
        <v>1410</v>
      </c>
      <c r="C64" t="s" s="32">
        <v>1166</v>
      </c>
      <c r="D64" s="33">
        <v>0</v>
      </c>
      <c r="E64" s="33">
        <v>2</v>
      </c>
      <c r="F64" s="33">
        <v>0</v>
      </c>
      <c r="G64" s="33">
        <v>0</v>
      </c>
    </row>
    <row r="65" ht="20.05" customHeight="1">
      <c r="A65" s="12"/>
      <c r="B65" s="13"/>
      <c r="C65" t="s" s="32">
        <v>1411</v>
      </c>
      <c r="D65" s="33">
        <v>0</v>
      </c>
      <c r="E65" s="33">
        <v>1</v>
      </c>
      <c r="F65" s="33">
        <v>0</v>
      </c>
      <c r="G65" s="33">
        <v>0</v>
      </c>
    </row>
    <row r="66" ht="20.05" customHeight="1">
      <c r="A66" s="12"/>
      <c r="B66" s="13"/>
      <c r="C66" t="s" s="32">
        <v>1168</v>
      </c>
      <c r="D66" s="33">
        <v>0</v>
      </c>
      <c r="E66" s="33">
        <v>1</v>
      </c>
      <c r="F66" s="33">
        <v>0</v>
      </c>
      <c r="G66" s="33">
        <v>0</v>
      </c>
    </row>
    <row r="67" ht="20.05" customHeight="1">
      <c r="A67" s="12"/>
      <c r="B67" s="13"/>
      <c r="C67" t="s" s="32">
        <v>1169</v>
      </c>
      <c r="D67" s="33">
        <v>0</v>
      </c>
      <c r="E67" s="33">
        <v>2</v>
      </c>
      <c r="F67" s="33">
        <v>0</v>
      </c>
      <c r="G67" s="33">
        <v>0</v>
      </c>
    </row>
    <row r="68" ht="20.05" customHeight="1">
      <c r="A68" s="12"/>
      <c r="B68" s="13"/>
      <c r="C68" t="s" s="32">
        <v>1170</v>
      </c>
      <c r="D68" s="33">
        <v>0</v>
      </c>
      <c r="E68" s="33">
        <v>0</v>
      </c>
      <c r="F68" s="33">
        <v>0</v>
      </c>
      <c r="G68" s="33">
        <v>0</v>
      </c>
    </row>
    <row r="69" ht="20.05" customHeight="1">
      <c r="A69" s="12"/>
      <c r="B69" s="13"/>
      <c r="C69" t="s" s="32">
        <v>1171</v>
      </c>
      <c r="D69" s="33">
        <v>0</v>
      </c>
      <c r="E69" s="33">
        <v>0</v>
      </c>
      <c r="F69" s="33">
        <v>0</v>
      </c>
      <c r="G69" s="33">
        <v>0</v>
      </c>
    </row>
    <row r="70" ht="20.05" customHeight="1">
      <c r="A70" s="12"/>
      <c r="B70" t="s" s="31">
        <v>1017</v>
      </c>
      <c r="C70" t="s" s="32">
        <v>1412</v>
      </c>
      <c r="D70" s="209"/>
      <c r="E70" s="209"/>
      <c r="F70" s="209"/>
      <c r="G70" s="209"/>
    </row>
    <row r="71" ht="20.05" customHeight="1">
      <c r="A71" s="12"/>
      <c r="B71" s="13"/>
      <c r="C71" t="s" s="32">
        <v>1413</v>
      </c>
      <c r="D71" s="209"/>
      <c r="E71" s="209"/>
      <c r="F71" s="209"/>
      <c r="G71" s="209"/>
    </row>
    <row r="72" ht="20.05" customHeight="1">
      <c r="A72" s="12"/>
      <c r="B72" s="13"/>
      <c r="C72" t="s" s="32">
        <v>1414</v>
      </c>
      <c r="D72" s="209"/>
      <c r="E72" s="209"/>
      <c r="F72" s="209"/>
      <c r="G72" s="209"/>
    </row>
    <row r="73" ht="20.05" customHeight="1">
      <c r="A73" s="12"/>
      <c r="B73" s="13"/>
      <c r="C73" t="s" s="32">
        <v>1415</v>
      </c>
      <c r="D73" s="209"/>
      <c r="E73" s="209"/>
      <c r="F73" s="209"/>
      <c r="G73" s="209"/>
    </row>
    <row r="74" ht="20.05" customHeight="1">
      <c r="A74" s="12"/>
      <c r="B74" s="13"/>
      <c r="C74" t="s" s="32">
        <v>258</v>
      </c>
      <c r="D74" s="33">
        <v>0</v>
      </c>
      <c r="E74" s="33">
        <v>2</v>
      </c>
      <c r="F74" s="33">
        <v>0</v>
      </c>
      <c r="G74" s="33">
        <v>0</v>
      </c>
    </row>
    <row r="75" ht="20.05" customHeight="1">
      <c r="A75" s="12"/>
      <c r="B75" s="13"/>
      <c r="C75" t="s" s="32">
        <v>259</v>
      </c>
      <c r="D75" s="33">
        <v>0</v>
      </c>
      <c r="E75" s="33">
        <v>3</v>
      </c>
      <c r="F75" s="33">
        <v>0</v>
      </c>
      <c r="G75" s="33">
        <v>0</v>
      </c>
    </row>
    <row r="76" ht="20.05" customHeight="1">
      <c r="A76" s="12"/>
      <c r="B76" s="13"/>
      <c r="C76" t="s" s="32">
        <v>1022</v>
      </c>
      <c r="D76" s="33">
        <v>0</v>
      </c>
      <c r="E76" s="33">
        <v>3</v>
      </c>
      <c r="F76" s="33">
        <v>0</v>
      </c>
      <c r="G76" s="33">
        <v>0</v>
      </c>
    </row>
    <row r="77" ht="20.05" customHeight="1">
      <c r="A77" s="12"/>
      <c r="B77" s="13"/>
      <c r="C77" t="s" s="32">
        <v>1023</v>
      </c>
      <c r="D77" s="33">
        <v>0</v>
      </c>
      <c r="E77" s="33">
        <v>1</v>
      </c>
      <c r="F77" s="33">
        <v>0</v>
      </c>
      <c r="G77" s="33">
        <v>0</v>
      </c>
    </row>
    <row r="78" ht="20.05" customHeight="1">
      <c r="A78" s="12"/>
      <c r="B78" s="13"/>
      <c r="C78" t="s" s="32">
        <v>261</v>
      </c>
      <c r="D78" s="33">
        <v>0</v>
      </c>
      <c r="E78" s="33">
        <v>4</v>
      </c>
      <c r="F78" s="33">
        <v>0</v>
      </c>
      <c r="G78" s="33">
        <v>0</v>
      </c>
    </row>
    <row r="79" ht="20.05" customHeight="1">
      <c r="A79" s="12"/>
      <c r="B79" s="13"/>
      <c r="C79" t="s" s="32">
        <v>1416</v>
      </c>
      <c r="D79" s="209"/>
      <c r="E79" s="209"/>
      <c r="F79" s="209"/>
      <c r="G79" s="209"/>
    </row>
    <row r="80" ht="20.05" customHeight="1">
      <c r="A80" s="12"/>
      <c r="B80" s="13"/>
      <c r="C80" t="s" s="32">
        <v>1417</v>
      </c>
      <c r="D80" s="209"/>
      <c r="E80" s="209"/>
      <c r="F80" s="209"/>
      <c r="G80" s="209"/>
    </row>
    <row r="81" ht="20.05" customHeight="1">
      <c r="A81" t="s" s="36">
        <v>1418</v>
      </c>
      <c r="B81" t="s" s="174">
        <v>1419</v>
      </c>
      <c r="C81" t="s" s="38">
        <v>482</v>
      </c>
      <c r="D81" s="210"/>
      <c r="E81" s="210"/>
      <c r="F81" s="210"/>
      <c r="G81" s="210"/>
    </row>
    <row r="82" ht="20.05" customHeight="1">
      <c r="A82" s="12"/>
      <c r="B82" s="13"/>
      <c r="C82" t="s" s="38">
        <v>1420</v>
      </c>
      <c r="D82" s="39">
        <v>0</v>
      </c>
      <c r="E82" s="39">
        <v>5</v>
      </c>
      <c r="F82" s="39">
        <v>0</v>
      </c>
      <c r="G82" s="39">
        <v>0</v>
      </c>
    </row>
    <row r="83" ht="20.05" customHeight="1">
      <c r="A83" s="12"/>
      <c r="B83" s="13"/>
      <c r="C83" t="s" s="38">
        <v>1421</v>
      </c>
      <c r="D83" s="39">
        <v>0</v>
      </c>
      <c r="E83" s="39">
        <v>2</v>
      </c>
      <c r="F83" s="39">
        <v>0</v>
      </c>
      <c r="G83" s="39">
        <v>0</v>
      </c>
    </row>
    <row r="84" ht="20.05" customHeight="1">
      <c r="A84" s="12"/>
      <c r="B84" s="13"/>
      <c r="C84" t="s" s="38">
        <v>1422</v>
      </c>
      <c r="D84" s="210"/>
      <c r="E84" s="210"/>
      <c r="F84" s="210"/>
      <c r="G84" s="210"/>
    </row>
    <row r="85" ht="20.05" customHeight="1">
      <c r="A85" s="12"/>
      <c r="B85" s="13"/>
      <c r="C85" t="s" s="38">
        <v>477</v>
      </c>
      <c r="D85" s="39">
        <v>0</v>
      </c>
      <c r="E85" s="39">
        <v>9</v>
      </c>
      <c r="F85" s="39">
        <v>0</v>
      </c>
      <c r="G85" s="39">
        <v>0</v>
      </c>
    </row>
    <row r="86" ht="20.05" customHeight="1">
      <c r="A86" s="12"/>
      <c r="B86" t="s" s="174">
        <v>1423</v>
      </c>
      <c r="C86" t="s" s="38">
        <v>1424</v>
      </c>
      <c r="D86" s="210"/>
      <c r="E86" s="210"/>
      <c r="F86" s="210"/>
      <c r="G86" s="210"/>
    </row>
    <row r="87" ht="20.05" customHeight="1">
      <c r="A87" s="12"/>
      <c r="B87" s="13"/>
      <c r="C87" t="s" s="38">
        <v>1425</v>
      </c>
      <c r="D87" s="210"/>
      <c r="E87" s="210"/>
      <c r="F87" s="210"/>
      <c r="G87" s="210"/>
    </row>
    <row r="88" ht="20.05" customHeight="1">
      <c r="A88" s="12"/>
      <c r="B88" t="s" s="174">
        <v>1035</v>
      </c>
      <c r="C88" t="s" s="38">
        <v>1036</v>
      </c>
      <c r="D88" s="39">
        <v>0</v>
      </c>
      <c r="E88" s="39">
        <v>5</v>
      </c>
      <c r="F88" s="39">
        <v>0</v>
      </c>
      <c r="G88" s="39">
        <v>0</v>
      </c>
    </row>
    <row r="89" ht="20.05" customHeight="1">
      <c r="A89" s="12"/>
      <c r="B89" s="13"/>
      <c r="C89" t="s" s="38">
        <v>1426</v>
      </c>
      <c r="D89" s="39">
        <v>0</v>
      </c>
      <c r="E89" s="39">
        <v>0</v>
      </c>
      <c r="F89" s="39">
        <v>0</v>
      </c>
      <c r="G89" s="39">
        <v>0</v>
      </c>
    </row>
    <row r="90" ht="20.05" customHeight="1">
      <c r="A90" s="12"/>
      <c r="B90" t="s" s="174">
        <v>1427</v>
      </c>
      <c r="C90" t="s" s="38">
        <v>1428</v>
      </c>
      <c r="D90" s="210"/>
      <c r="E90" s="210"/>
      <c r="F90" s="210"/>
      <c r="G90" s="210"/>
    </row>
    <row r="91" ht="20.05" customHeight="1">
      <c r="A91" s="12"/>
      <c r="B91" s="13"/>
      <c r="C91" t="s" s="38">
        <v>1429</v>
      </c>
      <c r="D91" s="210"/>
      <c r="E91" s="210"/>
      <c r="F91" s="210"/>
      <c r="G91" s="210"/>
    </row>
    <row r="92" ht="20.05" customHeight="1">
      <c r="A92" t="s" s="40">
        <v>1430</v>
      </c>
      <c r="B92" t="s" s="197">
        <v>1431</v>
      </c>
      <c r="C92" t="s" s="42">
        <v>499</v>
      </c>
      <c r="D92" s="43">
        <v>0</v>
      </c>
      <c r="E92" s="43">
        <v>2</v>
      </c>
      <c r="F92" s="43">
        <v>0</v>
      </c>
      <c r="G92" s="43">
        <v>0</v>
      </c>
    </row>
    <row r="93" ht="20.05" customHeight="1">
      <c r="A93" s="12"/>
      <c r="B93" s="13"/>
      <c r="C93" t="s" s="42">
        <v>1432</v>
      </c>
      <c r="D93" s="211"/>
      <c r="E93" s="211"/>
      <c r="F93" s="211"/>
      <c r="G93" s="211"/>
    </row>
    <row r="94" ht="23.95" customHeight="1">
      <c r="A94" s="12"/>
      <c r="B94" t="s" s="197">
        <v>1433</v>
      </c>
      <c r="C94" t="s" s="42">
        <v>1433</v>
      </c>
      <c r="D94" s="211"/>
      <c r="E94" s="211"/>
      <c r="F94" s="211"/>
      <c r="G94" s="211"/>
    </row>
    <row r="95" ht="20.05" customHeight="1">
      <c r="A95" s="12"/>
      <c r="B95" t="s" s="197">
        <v>1434</v>
      </c>
      <c r="C95" t="s" s="42">
        <v>1435</v>
      </c>
      <c r="D95" s="43">
        <v>0</v>
      </c>
      <c r="E95" s="43">
        <v>1</v>
      </c>
      <c r="F95" s="43">
        <v>0</v>
      </c>
      <c r="G95" s="43">
        <v>0</v>
      </c>
    </row>
    <row r="96" ht="20.05" customHeight="1">
      <c r="A96" s="12"/>
      <c r="B96" s="13"/>
      <c r="C96" t="s" s="42">
        <v>1436</v>
      </c>
      <c r="D96" s="211"/>
      <c r="E96" s="211"/>
      <c r="F96" s="211"/>
      <c r="G96" s="211"/>
    </row>
    <row r="97" ht="20.05" customHeight="1">
      <c r="A97" s="12"/>
      <c r="B97" s="13"/>
      <c r="C97" t="s" s="42">
        <v>1437</v>
      </c>
      <c r="D97" s="211"/>
      <c r="E97" s="211"/>
      <c r="F97" s="211"/>
      <c r="G97" s="211"/>
    </row>
    <row r="98" ht="20.05" customHeight="1">
      <c r="A98" t="s" s="44">
        <v>1438</v>
      </c>
      <c r="B98" t="s" s="45">
        <v>271</v>
      </c>
      <c r="C98" t="s" s="46">
        <v>1439</v>
      </c>
      <c r="D98" s="47">
        <v>0</v>
      </c>
      <c r="E98" s="47">
        <v>9</v>
      </c>
      <c r="F98" s="47">
        <v>1</v>
      </c>
      <c r="G98" s="47">
        <v>0</v>
      </c>
    </row>
    <row r="99" ht="20.05" customHeight="1">
      <c r="A99" s="12"/>
      <c r="B99" s="13"/>
      <c r="C99" t="s" s="46">
        <v>1260</v>
      </c>
      <c r="D99" s="47">
        <v>1</v>
      </c>
      <c r="E99" s="47">
        <v>11</v>
      </c>
      <c r="F99" s="47">
        <v>0</v>
      </c>
      <c r="G99" s="47">
        <v>1</v>
      </c>
    </row>
    <row r="100" ht="20.05" customHeight="1">
      <c r="A100" s="12"/>
      <c r="B100" s="13"/>
      <c r="C100" t="s" s="46">
        <v>1440</v>
      </c>
      <c r="D100" s="47">
        <v>0</v>
      </c>
      <c r="E100" s="47">
        <v>16</v>
      </c>
      <c r="F100" s="47">
        <v>1</v>
      </c>
      <c r="G100" s="47">
        <v>0</v>
      </c>
    </row>
    <row r="101" ht="20.05" customHeight="1">
      <c r="A101" s="12"/>
      <c r="B101" s="13"/>
      <c r="C101" t="s" s="46">
        <v>1441</v>
      </c>
      <c r="D101" s="47">
        <v>0</v>
      </c>
      <c r="E101" s="47">
        <v>15</v>
      </c>
      <c r="F101" s="47">
        <v>0</v>
      </c>
      <c r="G101" s="47">
        <v>0</v>
      </c>
    </row>
    <row r="102" ht="20.05" customHeight="1">
      <c r="A102" s="12"/>
      <c r="B102" t="s" s="45">
        <v>1442</v>
      </c>
      <c r="C102" t="s" s="46">
        <v>1443</v>
      </c>
      <c r="D102" s="47">
        <v>1</v>
      </c>
      <c r="E102" s="47">
        <v>6</v>
      </c>
      <c r="F102" s="47">
        <v>0</v>
      </c>
      <c r="G102" s="47">
        <v>1</v>
      </c>
    </row>
    <row r="103" ht="20.05" customHeight="1">
      <c r="A103" s="12"/>
      <c r="B103" s="13"/>
      <c r="C103" t="s" s="46">
        <v>1060</v>
      </c>
      <c r="D103" s="47">
        <v>0</v>
      </c>
      <c r="E103" s="47">
        <v>12</v>
      </c>
      <c r="F103" s="47">
        <v>0</v>
      </c>
      <c r="G103" s="47">
        <v>0</v>
      </c>
    </row>
    <row r="104" ht="20.05" customHeight="1">
      <c r="A104" s="12"/>
      <c r="B104" s="13"/>
      <c r="C104" t="s" s="46">
        <v>1062</v>
      </c>
      <c r="D104" s="47">
        <v>0</v>
      </c>
      <c r="E104" s="47">
        <v>1</v>
      </c>
      <c r="F104" s="47">
        <v>0</v>
      </c>
      <c r="G104" s="47">
        <v>0</v>
      </c>
    </row>
    <row r="105" ht="20.05" customHeight="1">
      <c r="A105" s="12"/>
      <c r="B105" s="13"/>
      <c r="C105" t="s" s="46">
        <v>1063</v>
      </c>
      <c r="D105" s="47">
        <v>0</v>
      </c>
      <c r="E105" s="47">
        <v>2</v>
      </c>
      <c r="F105" s="47">
        <v>0</v>
      </c>
      <c r="G105" s="47">
        <v>0</v>
      </c>
    </row>
    <row r="106" ht="20.05" customHeight="1">
      <c r="A106" s="12"/>
      <c r="B106" s="13"/>
      <c r="C106" t="s" s="46">
        <v>1064</v>
      </c>
      <c r="D106" s="47">
        <v>0</v>
      </c>
      <c r="E106" s="47">
        <v>7</v>
      </c>
      <c r="F106" s="47">
        <v>0</v>
      </c>
      <c r="G106" s="47">
        <v>1</v>
      </c>
    </row>
    <row r="107" ht="20.05" customHeight="1">
      <c r="A107" s="12"/>
      <c r="B107" s="13"/>
      <c r="C107" t="s" s="46">
        <v>285</v>
      </c>
      <c r="D107" s="47">
        <v>0</v>
      </c>
      <c r="E107" s="47">
        <v>1</v>
      </c>
      <c r="F107" s="47">
        <v>1</v>
      </c>
      <c r="G107" s="47">
        <v>0</v>
      </c>
    </row>
    <row r="108" ht="22.95" customHeight="1">
      <c r="A108" s="12"/>
      <c r="B108" t="s" s="45">
        <v>1444</v>
      </c>
      <c r="C108" t="s" s="46">
        <v>559</v>
      </c>
      <c r="D108" s="47">
        <v>0</v>
      </c>
      <c r="E108" s="47">
        <v>3</v>
      </c>
      <c r="F108" s="47">
        <v>0</v>
      </c>
      <c r="G108" s="47">
        <v>0</v>
      </c>
    </row>
    <row r="109" ht="20.05" customHeight="1">
      <c r="A109" s="12"/>
      <c r="B109" t="s" s="45">
        <v>650</v>
      </c>
      <c r="C109" t="s" s="46">
        <v>650</v>
      </c>
      <c r="D109" s="47">
        <v>0</v>
      </c>
      <c r="E109" s="47">
        <v>38</v>
      </c>
      <c r="F109" s="47">
        <v>0</v>
      </c>
      <c r="G109" s="47">
        <v>0</v>
      </c>
    </row>
    <row r="110" ht="20.05" customHeight="1">
      <c r="A110" s="12"/>
      <c r="B110" s="13"/>
      <c r="C110" t="s" s="46">
        <v>652</v>
      </c>
      <c r="D110" s="47">
        <v>0</v>
      </c>
      <c r="E110" s="47">
        <v>3</v>
      </c>
      <c r="F110" s="47">
        <v>0</v>
      </c>
      <c r="G110" s="47">
        <v>0</v>
      </c>
    </row>
    <row r="111" ht="20.05" customHeight="1">
      <c r="A111" s="12"/>
      <c r="B111" s="13"/>
      <c r="C111" t="s" s="46">
        <v>651</v>
      </c>
      <c r="D111" s="47">
        <v>0</v>
      </c>
      <c r="E111" s="47">
        <v>2</v>
      </c>
      <c r="F111" s="47">
        <v>0</v>
      </c>
      <c r="G111" s="47">
        <v>0</v>
      </c>
    </row>
    <row r="112" ht="20.05" customHeight="1">
      <c r="A112" s="12"/>
      <c r="B112" t="s" s="45">
        <v>308</v>
      </c>
      <c r="C112" t="s" s="46">
        <v>309</v>
      </c>
      <c r="D112" s="47">
        <v>0</v>
      </c>
      <c r="E112" s="47">
        <v>4</v>
      </c>
      <c r="F112" s="47">
        <v>0</v>
      </c>
      <c r="G112" s="47">
        <v>0</v>
      </c>
    </row>
    <row r="113" ht="20.05" customHeight="1">
      <c r="A113" s="12"/>
      <c r="B113" s="13"/>
      <c r="C113" t="s" s="46">
        <v>310</v>
      </c>
      <c r="D113" s="47">
        <v>0</v>
      </c>
      <c r="E113" s="47">
        <v>2</v>
      </c>
      <c r="F113" s="47">
        <v>0</v>
      </c>
      <c r="G113" s="47">
        <v>0</v>
      </c>
    </row>
    <row r="114" ht="20.05" customHeight="1">
      <c r="A114" s="12"/>
      <c r="B114" s="13"/>
      <c r="C114" t="s" s="46">
        <v>561</v>
      </c>
      <c r="D114" s="47">
        <v>0</v>
      </c>
      <c r="E114" s="47">
        <v>1</v>
      </c>
      <c r="F114" s="47">
        <v>0</v>
      </c>
      <c r="G114" s="47">
        <v>0</v>
      </c>
    </row>
    <row r="115" ht="22.95" customHeight="1">
      <c r="A115" s="12"/>
      <c r="B115" t="s" s="45">
        <v>305</v>
      </c>
      <c r="C115" s="212"/>
      <c r="D115" s="213"/>
      <c r="E115" s="213"/>
      <c r="F115" s="213"/>
      <c r="G115" s="213"/>
    </row>
    <row r="116" ht="20.05" customHeight="1">
      <c r="A116" s="12"/>
      <c r="B116" t="s" s="45">
        <v>1445</v>
      </c>
      <c r="C116" t="s" s="46">
        <v>277</v>
      </c>
      <c r="D116" s="47">
        <v>0</v>
      </c>
      <c r="E116" s="47">
        <v>5</v>
      </c>
      <c r="F116" s="47">
        <v>0</v>
      </c>
      <c r="G116" s="47">
        <v>0</v>
      </c>
    </row>
    <row r="117" ht="20.05" customHeight="1">
      <c r="A117" s="12"/>
      <c r="B117" s="13"/>
      <c r="C117" t="s" s="46">
        <v>292</v>
      </c>
      <c r="D117" s="47">
        <v>0</v>
      </c>
      <c r="E117" s="47">
        <v>6</v>
      </c>
      <c r="F117" s="47">
        <v>0</v>
      </c>
      <c r="G117" s="47">
        <v>0</v>
      </c>
    </row>
    <row r="118" ht="20.05" customHeight="1">
      <c r="A118" s="12"/>
      <c r="B118" t="s" s="45">
        <v>1446</v>
      </c>
      <c r="C118" s="212"/>
      <c r="D118" s="213"/>
      <c r="E118" s="213"/>
      <c r="F118" s="213"/>
      <c r="G118" s="213"/>
    </row>
    <row r="119" ht="20.05" customHeight="1">
      <c r="A119" s="12"/>
      <c r="B119" s="13"/>
      <c r="C119" s="212"/>
      <c r="D119" s="213"/>
      <c r="E119" s="213"/>
      <c r="F119" s="213"/>
      <c r="G119" s="213"/>
    </row>
    <row r="120" ht="20.05" customHeight="1">
      <c r="A120" t="s" s="50">
        <v>315</v>
      </c>
      <c r="B120" t="s" s="51">
        <v>1077</v>
      </c>
      <c r="C120" t="s" s="52">
        <v>1078</v>
      </c>
      <c r="D120" s="173">
        <v>0</v>
      </c>
      <c r="E120" s="173">
        <v>1</v>
      </c>
      <c r="F120" s="173">
        <v>0</v>
      </c>
      <c r="G120" s="173">
        <v>0</v>
      </c>
    </row>
    <row r="121" ht="20.05" customHeight="1">
      <c r="A121" s="12"/>
      <c r="B121" s="13"/>
      <c r="C121" t="s" s="52">
        <v>1079</v>
      </c>
      <c r="D121" s="173">
        <v>0</v>
      </c>
      <c r="E121" s="173">
        <v>3</v>
      </c>
      <c r="F121" s="173">
        <v>0</v>
      </c>
      <c r="G121" s="173">
        <v>0</v>
      </c>
    </row>
    <row r="122" ht="20.05" customHeight="1">
      <c r="A122" s="12"/>
      <c r="B122" s="13"/>
      <c r="C122" t="s" s="52">
        <v>323</v>
      </c>
      <c r="D122" s="173">
        <v>0</v>
      </c>
      <c r="E122" s="173">
        <v>3</v>
      </c>
      <c r="F122" s="173">
        <v>0</v>
      </c>
      <c r="G122" s="173">
        <v>0</v>
      </c>
    </row>
    <row r="123" ht="20.05" customHeight="1">
      <c r="A123" s="12"/>
      <c r="B123" s="13"/>
      <c r="C123" t="s" s="52">
        <v>343</v>
      </c>
      <c r="D123" s="173">
        <v>0</v>
      </c>
      <c r="E123" s="173">
        <v>7</v>
      </c>
      <c r="F123" s="173">
        <v>0</v>
      </c>
      <c r="G123" s="173">
        <v>0</v>
      </c>
    </row>
    <row r="124" ht="20.05" customHeight="1">
      <c r="A124" s="12"/>
      <c r="B124" s="13"/>
      <c r="C124" t="s" s="52">
        <v>1080</v>
      </c>
      <c r="D124" s="173">
        <v>0</v>
      </c>
      <c r="E124" s="173">
        <v>4</v>
      </c>
      <c r="F124" s="173">
        <v>0</v>
      </c>
      <c r="G124" s="173">
        <v>0</v>
      </c>
    </row>
    <row r="125" ht="22.95" customHeight="1">
      <c r="A125" s="12"/>
      <c r="B125" t="s" s="51">
        <v>1447</v>
      </c>
      <c r="C125" t="s" s="52">
        <v>339</v>
      </c>
      <c r="D125" s="173">
        <v>0</v>
      </c>
      <c r="E125" s="173">
        <v>28</v>
      </c>
      <c r="F125" s="173">
        <v>0</v>
      </c>
      <c r="G125" s="173">
        <v>0</v>
      </c>
    </row>
    <row r="126" ht="20.05" customHeight="1">
      <c r="A126" s="12"/>
      <c r="B126" t="s" s="51">
        <v>1081</v>
      </c>
      <c r="C126" t="s" s="52">
        <v>325</v>
      </c>
      <c r="D126" s="173">
        <v>1</v>
      </c>
      <c r="E126" s="173">
        <v>2</v>
      </c>
      <c r="F126" s="173">
        <v>0</v>
      </c>
      <c r="G126" s="173">
        <v>0</v>
      </c>
    </row>
    <row r="127" ht="20.05" customHeight="1">
      <c r="A127" s="12"/>
      <c r="B127" s="13"/>
      <c r="C127" t="s" s="52">
        <v>1082</v>
      </c>
      <c r="D127" s="173">
        <v>0</v>
      </c>
      <c r="E127" s="173">
        <v>2</v>
      </c>
      <c r="F127" s="173">
        <v>0</v>
      </c>
      <c r="G127" s="173">
        <v>0</v>
      </c>
    </row>
    <row r="128" ht="20.05" customHeight="1">
      <c r="A128" s="12"/>
      <c r="B128" s="13"/>
      <c r="C128" t="s" s="52">
        <v>1448</v>
      </c>
      <c r="D128" s="173">
        <v>0</v>
      </c>
      <c r="E128" s="173">
        <v>3</v>
      </c>
      <c r="F128" s="173">
        <v>0</v>
      </c>
      <c r="G128" s="173">
        <v>0</v>
      </c>
    </row>
    <row r="129" ht="20.05" customHeight="1">
      <c r="A129" s="12"/>
      <c r="B129" s="13"/>
      <c r="C129" t="s" s="52">
        <v>329</v>
      </c>
      <c r="D129" s="173">
        <v>0</v>
      </c>
      <c r="E129" s="173">
        <v>11</v>
      </c>
      <c r="F129" s="173">
        <v>1</v>
      </c>
      <c r="G129" s="173">
        <v>1</v>
      </c>
    </row>
    <row r="130" ht="20.05" customHeight="1">
      <c r="A130" s="12"/>
      <c r="B130" s="13"/>
      <c r="C130" t="s" s="52">
        <v>330</v>
      </c>
      <c r="D130" s="173">
        <v>0</v>
      </c>
      <c r="E130" s="173">
        <v>33</v>
      </c>
      <c r="F130" s="173">
        <v>0</v>
      </c>
      <c r="G130" s="173">
        <v>0</v>
      </c>
    </row>
    <row r="131" ht="20.05" customHeight="1">
      <c r="A131" s="12"/>
      <c r="B131" s="13"/>
      <c r="C131" t="s" s="52">
        <v>331</v>
      </c>
      <c r="D131" s="173">
        <v>0</v>
      </c>
      <c r="E131" s="173">
        <v>24</v>
      </c>
      <c r="F131" s="173">
        <v>0</v>
      </c>
      <c r="G131" s="173">
        <v>0</v>
      </c>
    </row>
    <row r="132" ht="20.05" customHeight="1">
      <c r="A132" s="12"/>
      <c r="B132" s="13"/>
      <c r="C132" t="s" s="52">
        <v>1449</v>
      </c>
      <c r="D132" s="173">
        <v>0</v>
      </c>
      <c r="E132" s="173">
        <v>1</v>
      </c>
      <c r="F132" s="173">
        <v>0</v>
      </c>
      <c r="G132" s="173">
        <v>0</v>
      </c>
    </row>
    <row r="133" ht="20.05" customHeight="1">
      <c r="A133" s="12"/>
      <c r="B133" t="s" s="51">
        <v>1450</v>
      </c>
      <c r="C133" t="s" s="52">
        <v>1085</v>
      </c>
      <c r="D133" s="173">
        <v>0</v>
      </c>
      <c r="E133" s="173">
        <v>1</v>
      </c>
      <c r="F133" s="173">
        <v>0</v>
      </c>
      <c r="G133" s="173">
        <v>0</v>
      </c>
    </row>
    <row r="134" ht="20.05" customHeight="1">
      <c r="A134" s="12"/>
      <c r="B134" s="13"/>
      <c r="C134" t="s" s="52">
        <v>335</v>
      </c>
      <c r="D134" s="173">
        <v>0</v>
      </c>
      <c r="E134" s="173">
        <v>5</v>
      </c>
      <c r="F134" s="173">
        <v>0</v>
      </c>
      <c r="G134" s="173">
        <v>0</v>
      </c>
    </row>
    <row r="135" ht="20.05" customHeight="1">
      <c r="A135" s="12"/>
      <c r="B135" s="13"/>
      <c r="C135" t="s" s="52">
        <v>1451</v>
      </c>
      <c r="D135" s="173">
        <v>0</v>
      </c>
      <c r="E135" s="173">
        <v>6</v>
      </c>
      <c r="F135" s="173">
        <v>0</v>
      </c>
      <c r="G135" s="173">
        <v>0</v>
      </c>
    </row>
    <row r="136" ht="20.05" customHeight="1">
      <c r="A136" s="12"/>
      <c r="B136" s="13"/>
      <c r="C136" t="s" s="52">
        <v>337</v>
      </c>
      <c r="D136" s="173">
        <v>0</v>
      </c>
      <c r="E136" s="173">
        <v>1</v>
      </c>
      <c r="F136" s="173">
        <v>0</v>
      </c>
      <c r="G136" s="173">
        <v>0</v>
      </c>
    </row>
    <row r="137" ht="20.05" customHeight="1">
      <c r="A137" s="12"/>
      <c r="B137" t="s" s="51">
        <v>358</v>
      </c>
      <c r="C137" t="s" s="52">
        <v>582</v>
      </c>
      <c r="D137" s="173">
        <v>0</v>
      </c>
      <c r="E137" s="173">
        <v>26</v>
      </c>
      <c r="F137" s="173">
        <v>0</v>
      </c>
      <c r="G137" s="173">
        <v>0</v>
      </c>
    </row>
    <row r="138" ht="20.05" customHeight="1">
      <c r="A138" s="12"/>
      <c r="B138" s="13"/>
      <c r="C138" t="s" s="52">
        <v>583</v>
      </c>
      <c r="D138" s="173">
        <v>0</v>
      </c>
      <c r="E138" s="173">
        <v>12</v>
      </c>
      <c r="F138" s="173">
        <v>0</v>
      </c>
      <c r="G138" s="173">
        <v>0</v>
      </c>
    </row>
    <row r="139" ht="20.05" customHeight="1">
      <c r="A139" s="12"/>
      <c r="B139" t="s" s="51">
        <v>359</v>
      </c>
      <c r="C139" t="s" s="52">
        <v>584</v>
      </c>
      <c r="D139" s="173">
        <v>0</v>
      </c>
      <c r="E139" s="173">
        <v>7</v>
      </c>
      <c r="F139" s="173">
        <v>0</v>
      </c>
      <c r="G139" s="173">
        <v>0</v>
      </c>
    </row>
    <row r="140" ht="20.05" customHeight="1">
      <c r="A140" s="12"/>
      <c r="B140" s="13"/>
      <c r="C140" t="s" s="52">
        <v>585</v>
      </c>
      <c r="D140" s="173">
        <v>0</v>
      </c>
      <c r="E140" s="173">
        <v>1</v>
      </c>
      <c r="F140" s="173">
        <v>0</v>
      </c>
      <c r="G140" s="173">
        <v>0</v>
      </c>
    </row>
    <row r="141" ht="20.05" customHeight="1">
      <c r="A141" s="12"/>
      <c r="B141" t="s" s="51">
        <v>375</v>
      </c>
      <c r="C141" t="s" s="52">
        <v>376</v>
      </c>
      <c r="D141" s="173">
        <v>0</v>
      </c>
      <c r="E141" s="173">
        <v>8</v>
      </c>
      <c r="F141" s="173">
        <v>0</v>
      </c>
      <c r="G141" s="173">
        <v>1</v>
      </c>
    </row>
    <row r="142" ht="20.05" customHeight="1">
      <c r="A142" s="12"/>
      <c r="B142" s="13"/>
      <c r="C142" t="s" s="52">
        <v>1107</v>
      </c>
      <c r="D142" s="173">
        <v>0</v>
      </c>
      <c r="E142" s="173">
        <v>4</v>
      </c>
      <c r="F142" s="173">
        <v>0</v>
      </c>
      <c r="G142" s="173">
        <v>0</v>
      </c>
    </row>
    <row r="143" ht="20.05" customHeight="1">
      <c r="A143" s="12"/>
      <c r="B143" s="13"/>
      <c r="C143" t="s" s="52">
        <v>587</v>
      </c>
      <c r="D143" s="173">
        <v>0</v>
      </c>
      <c r="E143" s="173">
        <v>3</v>
      </c>
      <c r="F143" s="173">
        <v>0</v>
      </c>
      <c r="G143" s="173">
        <v>0</v>
      </c>
    </row>
    <row r="144" ht="20.05" customHeight="1">
      <c r="A144" s="12"/>
      <c r="B144" s="13"/>
      <c r="C144" t="s" s="52">
        <v>1452</v>
      </c>
      <c r="D144" s="173">
        <v>0</v>
      </c>
      <c r="E144" s="173">
        <v>21</v>
      </c>
      <c r="F144" s="173">
        <v>0</v>
      </c>
      <c r="G144" s="173">
        <v>0</v>
      </c>
    </row>
    <row r="145" ht="20.05" customHeight="1">
      <c r="A145" s="12"/>
      <c r="B145" t="s" s="214">
        <v>1453</v>
      </c>
      <c r="C145" t="s" s="52">
        <v>320</v>
      </c>
      <c r="D145" s="173">
        <v>0</v>
      </c>
      <c r="E145" s="173">
        <v>8</v>
      </c>
      <c r="F145" s="173">
        <v>0</v>
      </c>
      <c r="G145" s="173">
        <v>0</v>
      </c>
    </row>
    <row r="146" ht="20.05" customHeight="1">
      <c r="A146" s="12"/>
      <c r="B146" s="13"/>
      <c r="C146" t="s" s="52">
        <v>317</v>
      </c>
      <c r="D146" s="173">
        <v>0</v>
      </c>
      <c r="E146" s="173">
        <v>30</v>
      </c>
      <c r="F146" s="173">
        <v>2</v>
      </c>
      <c r="G146" s="173">
        <v>0</v>
      </c>
    </row>
    <row r="147" ht="20.05" customHeight="1">
      <c r="A147" s="12"/>
      <c r="B147" s="13"/>
      <c r="C147" t="s" s="52">
        <v>1069</v>
      </c>
      <c r="D147" s="173">
        <v>0</v>
      </c>
      <c r="E147" s="173">
        <v>6</v>
      </c>
      <c r="F147" s="173">
        <v>0</v>
      </c>
      <c r="G147" s="173">
        <v>0</v>
      </c>
    </row>
    <row r="148" ht="20.05" customHeight="1">
      <c r="A148" s="12"/>
      <c r="B148" s="13"/>
      <c r="C148" t="s" s="52">
        <v>1070</v>
      </c>
      <c r="D148" s="173">
        <v>0</v>
      </c>
      <c r="E148" s="173">
        <v>10</v>
      </c>
      <c r="F148" s="173">
        <v>0</v>
      </c>
      <c r="G148" s="173">
        <v>0</v>
      </c>
    </row>
    <row r="149" ht="20.05" customHeight="1">
      <c r="A149" t="s" s="26">
        <v>1454</v>
      </c>
      <c r="B149" t="s" s="55">
        <v>1455</v>
      </c>
      <c r="C149" t="s" s="28">
        <v>1456</v>
      </c>
      <c r="D149" s="29">
        <v>0</v>
      </c>
      <c r="E149" s="29">
        <v>0</v>
      </c>
      <c r="F149" s="29">
        <v>0</v>
      </c>
      <c r="G149" s="29">
        <v>0</v>
      </c>
    </row>
    <row r="150" ht="20.05" customHeight="1">
      <c r="A150" s="12"/>
      <c r="B150" s="13"/>
      <c r="C150" t="s" s="28">
        <v>1457</v>
      </c>
      <c r="D150" s="29">
        <v>0</v>
      </c>
      <c r="E150" s="29">
        <v>0</v>
      </c>
      <c r="F150" s="29">
        <v>0</v>
      </c>
      <c r="G150" s="29">
        <v>0</v>
      </c>
    </row>
    <row r="151" ht="20.05" customHeight="1">
      <c r="A151" s="12"/>
      <c r="B151" s="13"/>
      <c r="C151" t="s" s="28">
        <v>1458</v>
      </c>
      <c r="D151" s="29">
        <v>0</v>
      </c>
      <c r="E151" s="29">
        <v>0</v>
      </c>
      <c r="F151" s="29">
        <v>0</v>
      </c>
      <c r="G151" s="29">
        <v>0</v>
      </c>
    </row>
    <row r="152" ht="20.05" customHeight="1">
      <c r="A152" s="12"/>
      <c r="B152" s="13"/>
      <c r="C152" t="s" s="28">
        <v>1459</v>
      </c>
      <c r="D152" s="29">
        <v>0</v>
      </c>
      <c r="E152" s="29">
        <v>0</v>
      </c>
      <c r="F152" s="29">
        <v>0</v>
      </c>
      <c r="G152" s="29">
        <v>0</v>
      </c>
    </row>
    <row r="153" ht="20.05" customHeight="1">
      <c r="A153" s="12"/>
      <c r="B153" s="13"/>
      <c r="C153" t="s" s="28">
        <v>1460</v>
      </c>
      <c r="D153" s="29">
        <v>0</v>
      </c>
      <c r="E153" s="29">
        <v>1</v>
      </c>
      <c r="F153" s="29">
        <v>0</v>
      </c>
      <c r="G153" s="29">
        <v>0</v>
      </c>
    </row>
    <row r="154" ht="20.05" customHeight="1">
      <c r="A154" s="12"/>
      <c r="B154" s="13"/>
      <c r="C154" t="s" s="28">
        <v>854</v>
      </c>
      <c r="D154" s="29">
        <v>0</v>
      </c>
      <c r="E154" s="29">
        <v>0</v>
      </c>
      <c r="F154" s="29">
        <v>0</v>
      </c>
      <c r="G154" s="29">
        <v>0</v>
      </c>
    </row>
    <row r="155" ht="20.05" customHeight="1">
      <c r="A155" s="12"/>
      <c r="B155" s="13"/>
      <c r="C155" t="s" s="28">
        <v>1461</v>
      </c>
      <c r="D155" s="29">
        <v>0</v>
      </c>
      <c r="E155" s="29">
        <v>1</v>
      </c>
      <c r="F155" s="29">
        <v>0</v>
      </c>
      <c r="G155" s="29">
        <v>0</v>
      </c>
    </row>
    <row r="156" ht="20.05" customHeight="1">
      <c r="A156" s="12"/>
      <c r="B156" s="13"/>
      <c r="C156" t="s" s="28">
        <v>1462</v>
      </c>
      <c r="D156" s="29">
        <v>0</v>
      </c>
      <c r="E156" s="29">
        <v>1</v>
      </c>
      <c r="F156" s="29">
        <v>0</v>
      </c>
      <c r="G156" s="29">
        <v>0</v>
      </c>
    </row>
    <row r="157" ht="20.05" customHeight="1">
      <c r="A157" s="12"/>
      <c r="B157" t="s" s="55">
        <v>1463</v>
      </c>
      <c r="C157" t="s" s="28">
        <v>1464</v>
      </c>
      <c r="D157" s="29">
        <v>0</v>
      </c>
      <c r="E157" s="29">
        <v>0</v>
      </c>
      <c r="F157" s="29">
        <v>0</v>
      </c>
      <c r="G157" s="29">
        <v>0</v>
      </c>
    </row>
    <row r="158" ht="20.05" customHeight="1">
      <c r="A158" s="12"/>
      <c r="B158" s="13"/>
      <c r="C158" t="s" s="28">
        <v>660</v>
      </c>
      <c r="D158" s="29">
        <v>0</v>
      </c>
      <c r="E158" s="29">
        <v>0</v>
      </c>
      <c r="F158" s="29">
        <v>0</v>
      </c>
      <c r="G158" s="29">
        <v>0</v>
      </c>
    </row>
    <row r="159" ht="20.05" customHeight="1">
      <c r="A159" s="12"/>
      <c r="B159" s="13"/>
      <c r="C159" t="s" s="28">
        <v>1465</v>
      </c>
      <c r="D159" s="29">
        <v>0</v>
      </c>
      <c r="E159" s="29">
        <v>0</v>
      </c>
      <c r="F159" s="29">
        <v>0</v>
      </c>
      <c r="G159" s="29">
        <v>0</v>
      </c>
    </row>
    <row r="160" ht="20.05" customHeight="1">
      <c r="A160" s="12"/>
      <c r="B160" t="s" s="55">
        <v>1466</v>
      </c>
      <c r="C160" t="s" s="28">
        <v>1467</v>
      </c>
      <c r="D160" s="29">
        <v>0</v>
      </c>
      <c r="E160" s="29">
        <v>0</v>
      </c>
      <c r="F160" s="29">
        <v>0</v>
      </c>
      <c r="G160" s="29">
        <v>0</v>
      </c>
    </row>
    <row r="161" ht="20.05" customHeight="1">
      <c r="A161" s="12"/>
      <c r="B161" s="13"/>
      <c r="C161" t="s" s="28">
        <v>1468</v>
      </c>
      <c r="D161" s="29">
        <v>0</v>
      </c>
      <c r="E161" s="29">
        <v>8</v>
      </c>
      <c r="F161" s="29">
        <v>0</v>
      </c>
      <c r="G161" s="29">
        <v>0</v>
      </c>
    </row>
    <row r="162" ht="20.05" customHeight="1">
      <c r="A162" s="12"/>
      <c r="B162" t="s" s="55">
        <v>1469</v>
      </c>
      <c r="C162" t="s" s="28">
        <v>1470</v>
      </c>
      <c r="D162" s="29">
        <v>0</v>
      </c>
      <c r="E162" s="29">
        <v>1</v>
      </c>
      <c r="F162" s="29">
        <v>0</v>
      </c>
      <c r="G162" s="29">
        <v>0</v>
      </c>
    </row>
    <row r="163" ht="20.05" customHeight="1">
      <c r="A163" s="12"/>
      <c r="B163" s="13"/>
      <c r="C163" t="s" s="28">
        <v>1471</v>
      </c>
      <c r="D163" s="29">
        <v>0</v>
      </c>
      <c r="E163" s="29">
        <v>0</v>
      </c>
      <c r="F163" s="29">
        <v>0</v>
      </c>
      <c r="G163" s="29">
        <v>0</v>
      </c>
    </row>
    <row r="164" ht="20.05" customHeight="1">
      <c r="A164" s="12"/>
      <c r="B164" s="13"/>
      <c r="C164" t="s" s="28">
        <v>662</v>
      </c>
      <c r="D164" s="29">
        <v>0</v>
      </c>
      <c r="E164" s="29">
        <v>0</v>
      </c>
      <c r="F164" s="29">
        <v>0</v>
      </c>
      <c r="G164" s="29">
        <v>0</v>
      </c>
    </row>
    <row r="165" ht="20.05" customHeight="1">
      <c r="A165" s="12"/>
      <c r="B165" s="13"/>
      <c r="C165" t="s" s="28">
        <v>1472</v>
      </c>
      <c r="D165" s="29">
        <v>0</v>
      </c>
      <c r="E165" s="29">
        <v>0</v>
      </c>
      <c r="F165" s="29">
        <v>0</v>
      </c>
      <c r="G165" s="29">
        <v>0</v>
      </c>
    </row>
    <row r="166" ht="20.05" customHeight="1">
      <c r="A166" s="12"/>
      <c r="B166" s="13"/>
      <c r="C166" t="s" s="28">
        <v>1473</v>
      </c>
      <c r="D166" s="29">
        <v>0</v>
      </c>
      <c r="E166" s="29">
        <v>0</v>
      </c>
      <c r="F166" s="29">
        <v>0</v>
      </c>
      <c r="G166" s="29">
        <v>0</v>
      </c>
    </row>
    <row r="167" ht="20.05" customHeight="1">
      <c r="A167" s="12"/>
      <c r="B167" s="13"/>
      <c r="C167" t="s" s="28">
        <v>1474</v>
      </c>
      <c r="D167" s="29">
        <v>0</v>
      </c>
      <c r="E167" s="29">
        <v>2</v>
      </c>
      <c r="F167" s="29">
        <v>0</v>
      </c>
      <c r="G167" s="29">
        <v>0</v>
      </c>
    </row>
    <row r="168" ht="20.05" customHeight="1">
      <c r="A168" s="12"/>
      <c r="B168" t="s" s="55">
        <v>1475</v>
      </c>
      <c r="C168" t="s" s="28">
        <v>1476</v>
      </c>
      <c r="D168" s="29">
        <v>0</v>
      </c>
      <c r="E168" s="29">
        <v>2</v>
      </c>
      <c r="F168" s="29">
        <v>0</v>
      </c>
      <c r="G168" s="29">
        <v>0</v>
      </c>
    </row>
    <row r="169" ht="20.05" customHeight="1">
      <c r="A169" s="12"/>
      <c r="B169" s="13"/>
      <c r="C169" t="s" s="28">
        <v>1422</v>
      </c>
      <c r="D169" s="29">
        <v>0</v>
      </c>
      <c r="E169" s="29">
        <v>1</v>
      </c>
      <c r="F169" s="29">
        <v>0</v>
      </c>
      <c r="G169" s="29">
        <v>0</v>
      </c>
    </row>
    <row r="170" ht="20.05" customHeight="1">
      <c r="A170" s="12"/>
      <c r="B170" s="13"/>
      <c r="C170" t="s" s="28">
        <v>644</v>
      </c>
      <c r="D170" s="29">
        <v>0</v>
      </c>
      <c r="E170" s="29">
        <v>5</v>
      </c>
      <c r="F170" s="29">
        <v>0</v>
      </c>
      <c r="G170" s="29">
        <v>0</v>
      </c>
    </row>
    <row r="171" ht="20.05" customHeight="1">
      <c r="A171" s="12"/>
      <c r="B171" s="13"/>
      <c r="C171" t="s" s="28">
        <v>1477</v>
      </c>
      <c r="D171" s="29">
        <v>0</v>
      </c>
      <c r="E171" s="29">
        <v>4</v>
      </c>
      <c r="F171" s="29">
        <v>0</v>
      </c>
      <c r="G171" s="29">
        <v>0</v>
      </c>
    </row>
    <row r="172" ht="20.05" customHeight="1">
      <c r="A172" s="12"/>
      <c r="B172" s="13"/>
      <c r="C172" t="s" s="28">
        <v>1224</v>
      </c>
      <c r="D172" s="29">
        <v>0</v>
      </c>
      <c r="E172" s="29">
        <v>1</v>
      </c>
      <c r="F172" s="29">
        <v>0</v>
      </c>
      <c r="G172" s="29">
        <v>0</v>
      </c>
    </row>
    <row r="173" ht="20.05" customHeight="1">
      <c r="A173" t="s" s="30">
        <v>1478</v>
      </c>
      <c r="B173" t="s" s="57">
        <v>1479</v>
      </c>
      <c r="C173" t="s" s="32">
        <v>1480</v>
      </c>
      <c r="D173" s="33">
        <v>0</v>
      </c>
      <c r="E173" s="33">
        <v>2</v>
      </c>
      <c r="F173" s="33">
        <v>0</v>
      </c>
      <c r="G173" s="33">
        <v>0</v>
      </c>
    </row>
    <row r="174" ht="20.05" customHeight="1">
      <c r="A174" s="12"/>
      <c r="B174" s="13"/>
      <c r="C174" t="s" s="32">
        <v>1481</v>
      </c>
      <c r="D174" s="33">
        <v>0</v>
      </c>
      <c r="E174" s="33">
        <v>0</v>
      </c>
      <c r="F174" s="33">
        <v>0</v>
      </c>
      <c r="G174" s="33">
        <v>0</v>
      </c>
    </row>
    <row r="175" ht="20.05" customHeight="1">
      <c r="A175" s="12"/>
      <c r="B175" s="13"/>
      <c r="C175" t="s" s="32">
        <v>1482</v>
      </c>
      <c r="D175" s="33">
        <v>0</v>
      </c>
      <c r="E175" s="33">
        <v>0</v>
      </c>
      <c r="F175" s="33">
        <v>0</v>
      </c>
      <c r="G175" s="33">
        <v>0</v>
      </c>
    </row>
    <row r="176" ht="20.05" customHeight="1">
      <c r="A176" s="12"/>
      <c r="B176" t="s" s="57">
        <v>1483</v>
      </c>
      <c r="C176" t="s" s="32">
        <v>668</v>
      </c>
      <c r="D176" s="33">
        <v>0</v>
      </c>
      <c r="E176" s="33">
        <v>3</v>
      </c>
      <c r="F176" s="33">
        <v>0</v>
      </c>
      <c r="G176" s="33">
        <v>0</v>
      </c>
    </row>
    <row r="177" ht="20.05" customHeight="1">
      <c r="A177" s="12"/>
      <c r="B177" s="13"/>
      <c r="C177" t="s" s="32">
        <v>1484</v>
      </c>
      <c r="D177" s="33">
        <v>0</v>
      </c>
      <c r="E177" s="33">
        <v>1</v>
      </c>
      <c r="F177" s="33">
        <v>0</v>
      </c>
      <c r="G177" s="33">
        <v>0</v>
      </c>
    </row>
    <row r="178" ht="20.05" customHeight="1">
      <c r="A178" s="12"/>
      <c r="B178" s="13"/>
      <c r="C178" t="s" s="32">
        <v>1485</v>
      </c>
      <c r="D178" s="33">
        <v>0</v>
      </c>
      <c r="E178" s="33">
        <v>1</v>
      </c>
      <c r="F178" s="33">
        <v>0</v>
      </c>
      <c r="G178" s="33">
        <v>0</v>
      </c>
    </row>
    <row r="179" ht="20.05" customHeight="1">
      <c r="A179" s="12"/>
      <c r="B179" s="13"/>
      <c r="C179" t="s" s="32">
        <v>1486</v>
      </c>
      <c r="D179" s="33">
        <v>0</v>
      </c>
      <c r="E179" s="215"/>
      <c r="F179" s="33">
        <v>0</v>
      </c>
      <c r="G179" s="33">
        <v>0</v>
      </c>
    </row>
    <row r="180" ht="20.05" customHeight="1">
      <c r="A180" s="12"/>
      <c r="B180" s="13"/>
      <c r="C180" t="s" s="32">
        <v>1487</v>
      </c>
      <c r="D180" s="33">
        <v>0</v>
      </c>
      <c r="E180" s="33">
        <v>0</v>
      </c>
      <c r="F180" s="33">
        <v>0</v>
      </c>
      <c r="G180" s="33">
        <v>0</v>
      </c>
    </row>
    <row r="181" ht="20.05" customHeight="1">
      <c r="A181" s="12"/>
      <c r="B181" t="s" s="57">
        <v>1488</v>
      </c>
      <c r="C181" t="s" s="32">
        <v>1489</v>
      </c>
      <c r="D181" s="33">
        <v>0</v>
      </c>
      <c r="E181" s="33">
        <v>2</v>
      </c>
      <c r="F181" s="33">
        <v>0</v>
      </c>
      <c r="G181" s="33">
        <v>0</v>
      </c>
    </row>
    <row r="182" ht="20.05" customHeight="1">
      <c r="A182" s="12"/>
      <c r="B182" s="13"/>
      <c r="C182" t="s" s="32">
        <v>1490</v>
      </c>
      <c r="D182" s="33">
        <v>0</v>
      </c>
      <c r="E182" s="33">
        <v>0</v>
      </c>
      <c r="F182" s="33">
        <v>0</v>
      </c>
      <c r="G182" s="33">
        <v>0</v>
      </c>
    </row>
    <row r="183" ht="20.05" customHeight="1">
      <c r="A183" s="12"/>
      <c r="B183" s="13"/>
      <c r="C183" t="s" s="32">
        <v>1491</v>
      </c>
      <c r="D183" s="33">
        <v>0</v>
      </c>
      <c r="E183" s="33">
        <v>0</v>
      </c>
      <c r="F183" s="33">
        <v>0</v>
      </c>
      <c r="G183" s="33">
        <v>0</v>
      </c>
    </row>
    <row r="184" ht="20.05" customHeight="1">
      <c r="A184" s="12"/>
      <c r="B184" s="13"/>
      <c r="C184" t="s" s="32">
        <v>1492</v>
      </c>
      <c r="D184" s="33">
        <v>0</v>
      </c>
      <c r="E184" s="33">
        <v>0</v>
      </c>
      <c r="F184" s="33">
        <v>0</v>
      </c>
      <c r="G184" s="33">
        <v>0</v>
      </c>
    </row>
    <row r="185" ht="20.05" customHeight="1">
      <c r="A185" s="12"/>
      <c r="B185" t="s" s="57">
        <v>1493</v>
      </c>
      <c r="C185" t="s" s="32">
        <v>1494</v>
      </c>
      <c r="D185" s="33">
        <v>0</v>
      </c>
      <c r="E185" s="33">
        <v>0</v>
      </c>
      <c r="F185" s="33">
        <v>0</v>
      </c>
      <c r="G185" s="33">
        <v>0</v>
      </c>
    </row>
    <row r="186" ht="20.05" customHeight="1">
      <c r="A186" s="12"/>
      <c r="B186" s="13"/>
      <c r="C186" t="s" s="32">
        <v>1495</v>
      </c>
      <c r="D186" s="33">
        <v>0</v>
      </c>
      <c r="E186" s="33">
        <v>1</v>
      </c>
      <c r="F186" s="33">
        <v>0</v>
      </c>
      <c r="G186" s="33">
        <v>0</v>
      </c>
    </row>
    <row r="187" ht="20.05" customHeight="1">
      <c r="A187" t="s" s="36">
        <v>1496</v>
      </c>
      <c r="B187" t="s" s="58">
        <v>1497</v>
      </c>
      <c r="C187" t="s" s="38">
        <v>1498</v>
      </c>
      <c r="D187" s="39">
        <v>0</v>
      </c>
      <c r="E187" s="39">
        <v>1</v>
      </c>
      <c r="F187" s="39">
        <v>0</v>
      </c>
      <c r="G187" s="39">
        <v>0</v>
      </c>
    </row>
    <row r="188" ht="20.05" customHeight="1">
      <c r="A188" s="12"/>
      <c r="B188" s="13"/>
      <c r="C188" t="s" s="38">
        <v>1499</v>
      </c>
      <c r="D188" s="39">
        <v>0</v>
      </c>
      <c r="E188" s="39">
        <v>3</v>
      </c>
      <c r="F188" s="39">
        <v>0</v>
      </c>
      <c r="G188" s="39">
        <v>0</v>
      </c>
    </row>
    <row r="189" ht="20.05" customHeight="1">
      <c r="A189" s="12"/>
      <c r="B189" s="13"/>
      <c r="C189" t="s" s="38">
        <v>1500</v>
      </c>
      <c r="D189" s="39">
        <v>0</v>
      </c>
      <c r="E189" s="39">
        <v>1</v>
      </c>
      <c r="F189" s="39">
        <v>0</v>
      </c>
      <c r="G189" s="39">
        <v>0</v>
      </c>
    </row>
    <row r="190" ht="20.05" customHeight="1">
      <c r="A190" s="12"/>
      <c r="B190" s="13"/>
      <c r="C190" t="s" s="38">
        <v>1501</v>
      </c>
      <c r="D190" s="39">
        <v>0</v>
      </c>
      <c r="E190" s="39">
        <v>1</v>
      </c>
      <c r="F190" s="39">
        <v>0</v>
      </c>
      <c r="G190" s="39">
        <v>0</v>
      </c>
    </row>
    <row r="191" ht="22.95" customHeight="1">
      <c r="A191" s="12"/>
      <c r="B191" t="s" s="58">
        <v>1502</v>
      </c>
      <c r="C191" t="s" s="38">
        <v>1503</v>
      </c>
      <c r="D191" s="39">
        <v>0</v>
      </c>
      <c r="E191" s="39">
        <v>2</v>
      </c>
      <c r="F191" s="39">
        <v>0</v>
      </c>
      <c r="G191" s="39">
        <v>0</v>
      </c>
    </row>
    <row r="192" ht="20.05" customHeight="1">
      <c r="A192" s="12"/>
      <c r="B192" t="s" s="58">
        <v>1504</v>
      </c>
      <c r="C192" t="s" s="38">
        <v>1505</v>
      </c>
      <c r="D192" s="39">
        <v>0</v>
      </c>
      <c r="E192" s="39">
        <v>1</v>
      </c>
      <c r="F192" s="39">
        <v>0</v>
      </c>
      <c r="G192" s="39">
        <v>0</v>
      </c>
    </row>
    <row r="193" ht="20.05" customHeight="1">
      <c r="A193" s="12"/>
      <c r="B193" s="13"/>
      <c r="C193" t="s" s="38">
        <v>1506</v>
      </c>
      <c r="D193" s="39">
        <v>0</v>
      </c>
      <c r="E193" s="39">
        <v>0</v>
      </c>
      <c r="F193" s="39">
        <v>0</v>
      </c>
      <c r="G193" s="39">
        <v>0</v>
      </c>
    </row>
    <row r="194" ht="20.05" customHeight="1">
      <c r="A194" s="12"/>
      <c r="B194" s="13"/>
      <c r="C194" t="s" s="38">
        <v>1121</v>
      </c>
      <c r="D194" s="39">
        <v>0</v>
      </c>
      <c r="E194" s="39">
        <v>1</v>
      </c>
      <c r="F194" s="39">
        <v>0</v>
      </c>
      <c r="G194" s="39">
        <v>0</v>
      </c>
    </row>
    <row r="195" ht="20.05" customHeight="1">
      <c r="A195" s="12"/>
      <c r="B195" s="13"/>
      <c r="C195" t="s" s="38">
        <v>1507</v>
      </c>
      <c r="D195" s="39">
        <v>0</v>
      </c>
      <c r="E195" s="39">
        <v>0</v>
      </c>
      <c r="F195" s="39">
        <v>0</v>
      </c>
      <c r="G195" s="39">
        <v>0</v>
      </c>
    </row>
    <row r="196" ht="20.05" customHeight="1">
      <c r="A196" s="12"/>
      <c r="B196" s="13"/>
      <c r="C196" t="s" s="38">
        <v>1508</v>
      </c>
      <c r="D196" s="39">
        <v>0</v>
      </c>
      <c r="E196" s="39">
        <v>3</v>
      </c>
      <c r="F196" s="39">
        <v>0</v>
      </c>
      <c r="G196" s="39">
        <v>0</v>
      </c>
    </row>
    <row r="197" ht="20.05" customHeight="1">
      <c r="A197" s="12"/>
      <c r="B197" s="13"/>
      <c r="C197" t="s" s="38">
        <v>1509</v>
      </c>
      <c r="D197" s="39">
        <v>0</v>
      </c>
      <c r="E197" s="39">
        <v>0</v>
      </c>
      <c r="F197" s="39">
        <v>0</v>
      </c>
      <c r="G197" s="39">
        <v>0</v>
      </c>
    </row>
    <row r="198" ht="20.05" customHeight="1">
      <c r="A198" s="12"/>
      <c r="B198" s="13"/>
      <c r="C198" t="s" s="38">
        <v>1510</v>
      </c>
      <c r="D198" s="39">
        <v>0</v>
      </c>
      <c r="E198" s="39">
        <v>0</v>
      </c>
      <c r="F198" s="39">
        <v>0</v>
      </c>
      <c r="G198" s="39">
        <v>0</v>
      </c>
    </row>
    <row r="199" ht="20.05" customHeight="1">
      <c r="A199" s="12"/>
      <c r="B199" s="13"/>
      <c r="C199" t="s" s="38">
        <v>1511</v>
      </c>
      <c r="D199" s="39">
        <v>0</v>
      </c>
      <c r="E199" s="39">
        <v>3</v>
      </c>
      <c r="F199" s="39">
        <v>0</v>
      </c>
      <c r="G199" s="39">
        <v>0</v>
      </c>
    </row>
    <row r="200" ht="20.05" customHeight="1">
      <c r="A200" s="12"/>
      <c r="B200" s="13"/>
      <c r="C200" t="s" s="38">
        <v>1512</v>
      </c>
      <c r="D200" s="39">
        <v>0</v>
      </c>
      <c r="E200" s="39">
        <v>4</v>
      </c>
      <c r="F200" s="39">
        <v>0</v>
      </c>
      <c r="G200" s="39">
        <v>0</v>
      </c>
    </row>
    <row r="201" ht="20.05" customHeight="1">
      <c r="A201" s="12"/>
      <c r="B201" t="s" s="58">
        <v>1513</v>
      </c>
      <c r="C201" t="s" s="38">
        <v>1514</v>
      </c>
      <c r="D201" s="39">
        <v>0</v>
      </c>
      <c r="E201" s="39">
        <v>10</v>
      </c>
      <c r="F201" s="39">
        <v>0</v>
      </c>
      <c r="G201" s="39">
        <v>0</v>
      </c>
    </row>
    <row r="202" ht="20.05" customHeight="1">
      <c r="A202" s="12"/>
      <c r="B202" s="13"/>
      <c r="C202" t="s" s="38">
        <v>1515</v>
      </c>
      <c r="D202" s="39">
        <v>0</v>
      </c>
      <c r="E202" s="39">
        <v>1</v>
      </c>
      <c r="F202" s="39">
        <v>0</v>
      </c>
      <c r="G202" s="39">
        <v>0</v>
      </c>
    </row>
    <row r="203" ht="20.05" customHeight="1">
      <c r="A203" s="12"/>
      <c r="B203" s="13"/>
      <c r="C203" t="s" s="38">
        <v>680</v>
      </c>
      <c r="D203" s="39">
        <v>0</v>
      </c>
      <c r="E203" s="39">
        <v>7</v>
      </c>
      <c r="F203" s="39">
        <v>0</v>
      </c>
      <c r="G203" s="39">
        <v>0</v>
      </c>
    </row>
    <row r="204" ht="20.05" customHeight="1">
      <c r="A204" s="12"/>
      <c r="B204" s="13"/>
      <c r="C204" t="s" s="38">
        <v>1516</v>
      </c>
      <c r="D204" s="39">
        <v>0</v>
      </c>
      <c r="E204" s="39">
        <v>3</v>
      </c>
      <c r="F204" s="39">
        <v>0</v>
      </c>
      <c r="G204" s="39">
        <v>0</v>
      </c>
    </row>
    <row r="205" ht="20.05" customHeight="1">
      <c r="A205" s="12"/>
      <c r="B205" s="13"/>
      <c r="C205" t="s" s="38">
        <v>1422</v>
      </c>
      <c r="D205" s="39">
        <v>0</v>
      </c>
      <c r="E205" s="39">
        <v>1</v>
      </c>
      <c r="F205" s="39">
        <v>0</v>
      </c>
      <c r="G205" s="39">
        <v>0</v>
      </c>
    </row>
    <row r="206" ht="20.05" customHeight="1">
      <c r="A206" s="12"/>
      <c r="B206" t="s" s="58">
        <v>679</v>
      </c>
      <c r="C206" t="s" s="38">
        <v>1517</v>
      </c>
      <c r="D206" s="39">
        <v>0</v>
      </c>
      <c r="E206" s="39">
        <v>5</v>
      </c>
      <c r="F206" s="39">
        <v>0</v>
      </c>
      <c r="G206" s="39">
        <v>0</v>
      </c>
    </row>
    <row r="207" ht="20.05" customHeight="1">
      <c r="A207" s="12"/>
      <c r="B207" s="13"/>
      <c r="C207" t="s" s="38">
        <v>1518</v>
      </c>
      <c r="D207" s="39">
        <v>0</v>
      </c>
      <c r="E207" s="39">
        <v>1</v>
      </c>
      <c r="F207" s="39">
        <v>0</v>
      </c>
      <c r="G207" s="39">
        <v>0</v>
      </c>
    </row>
    <row r="208" ht="20.05" customHeight="1">
      <c r="A208" s="12"/>
      <c r="B208" s="13"/>
      <c r="C208" t="s" s="38">
        <v>1519</v>
      </c>
      <c r="D208" s="39">
        <v>0</v>
      </c>
      <c r="E208" s="39">
        <v>2</v>
      </c>
      <c r="F208" s="39">
        <v>0</v>
      </c>
      <c r="G208" s="39">
        <v>0</v>
      </c>
    </row>
    <row r="209" ht="20.05" customHeight="1">
      <c r="A209" s="12"/>
      <c r="B209" s="13"/>
      <c r="C209" t="s" s="38">
        <v>1520</v>
      </c>
      <c r="D209" s="39">
        <v>0</v>
      </c>
      <c r="E209" s="39">
        <v>1</v>
      </c>
      <c r="F209" s="39">
        <v>0</v>
      </c>
      <c r="G209" s="39">
        <v>0</v>
      </c>
    </row>
    <row r="210" ht="20.05" customHeight="1">
      <c r="A210" s="12"/>
      <c r="B210" s="13"/>
      <c r="C210" t="s" s="38">
        <v>1521</v>
      </c>
      <c r="D210" s="39">
        <v>0</v>
      </c>
      <c r="E210" s="39">
        <v>0</v>
      </c>
      <c r="F210" s="39">
        <v>0</v>
      </c>
      <c r="G210" s="39">
        <v>0</v>
      </c>
    </row>
    <row r="211" ht="20.05" customHeight="1">
      <c r="A211" s="12"/>
      <c r="B211" s="13"/>
      <c r="C211" t="s" s="38">
        <v>1522</v>
      </c>
      <c r="D211" s="39">
        <v>0</v>
      </c>
      <c r="E211" s="39">
        <v>0</v>
      </c>
      <c r="F211" s="39">
        <v>0</v>
      </c>
      <c r="G211" s="39">
        <v>0</v>
      </c>
    </row>
    <row r="212" ht="20.05" customHeight="1">
      <c r="A212" s="12"/>
      <c r="B212" s="13"/>
      <c r="C212" t="s" s="38">
        <v>1523</v>
      </c>
      <c r="D212" s="39">
        <v>0</v>
      </c>
      <c r="E212" s="39">
        <v>0</v>
      </c>
      <c r="F212" s="39">
        <v>0</v>
      </c>
      <c r="G212" s="39">
        <v>0</v>
      </c>
    </row>
    <row r="213" ht="20.05" customHeight="1">
      <c r="A213" s="12"/>
      <c r="B213" t="s" s="216">
        <v>1524</v>
      </c>
      <c r="C213" t="s" s="38">
        <v>1525</v>
      </c>
      <c r="D213" s="39">
        <v>0</v>
      </c>
      <c r="E213" s="39">
        <v>0</v>
      </c>
      <c r="F213" s="39">
        <v>0</v>
      </c>
      <c r="G213" s="39">
        <v>0</v>
      </c>
    </row>
    <row r="214" ht="20.05" customHeight="1">
      <c r="A214" s="12"/>
      <c r="B214" s="13"/>
      <c r="C214" t="s" s="38">
        <v>1526</v>
      </c>
      <c r="D214" s="39">
        <v>0</v>
      </c>
      <c r="E214" s="39">
        <v>1</v>
      </c>
      <c r="F214" s="39">
        <v>0</v>
      </c>
      <c r="G214" s="39">
        <v>0</v>
      </c>
    </row>
    <row r="215" ht="20.05" customHeight="1">
      <c r="A215" s="12"/>
      <c r="B215" s="13"/>
      <c r="C215" t="s" s="38">
        <v>1527</v>
      </c>
      <c r="D215" s="39">
        <v>0</v>
      </c>
      <c r="E215" s="39">
        <v>2</v>
      </c>
      <c r="F215" s="39">
        <v>0</v>
      </c>
      <c r="G215" s="39">
        <v>0</v>
      </c>
    </row>
    <row r="216" ht="20.05" customHeight="1">
      <c r="A216" s="12"/>
      <c r="B216" s="13"/>
      <c r="C216" t="s" s="38">
        <v>1528</v>
      </c>
      <c r="D216" s="39">
        <v>0</v>
      </c>
      <c r="E216" s="39">
        <v>3</v>
      </c>
      <c r="F216" s="39">
        <v>0</v>
      </c>
      <c r="G216" s="39">
        <v>0</v>
      </c>
    </row>
    <row r="217" ht="22.95" customHeight="1">
      <c r="A217" s="12"/>
      <c r="B217" t="s" s="216">
        <v>1529</v>
      </c>
      <c r="C217" t="s" s="38">
        <v>1529</v>
      </c>
      <c r="D217" s="39">
        <v>0</v>
      </c>
      <c r="E217" s="39">
        <v>1</v>
      </c>
      <c r="F217" s="39">
        <v>0</v>
      </c>
      <c r="G217" s="39">
        <v>0</v>
      </c>
    </row>
    <row r="218" ht="20.05" customHeight="1">
      <c r="A218" t="s" s="59">
        <v>1530</v>
      </c>
      <c r="B218" t="s" s="60">
        <v>1531</v>
      </c>
      <c r="C218" t="s" s="61">
        <v>1532</v>
      </c>
      <c r="D218" s="62">
        <v>0</v>
      </c>
      <c r="E218" s="62">
        <v>0</v>
      </c>
      <c r="F218" s="62">
        <v>0</v>
      </c>
      <c r="G218" s="62">
        <v>0</v>
      </c>
    </row>
    <row r="219" ht="20.05" customHeight="1">
      <c r="A219" s="12"/>
      <c r="B219" s="13"/>
      <c r="C219" t="s" s="61">
        <v>1533</v>
      </c>
      <c r="D219" s="62">
        <v>0</v>
      </c>
      <c r="E219" s="62">
        <v>0</v>
      </c>
      <c r="F219" s="62">
        <v>0</v>
      </c>
      <c r="G219" s="62">
        <v>0</v>
      </c>
    </row>
    <row r="220" ht="20.05" customHeight="1">
      <c r="A220" s="12"/>
      <c r="B220" t="s" s="60">
        <v>1534</v>
      </c>
      <c r="C220" t="s" s="61">
        <v>1535</v>
      </c>
      <c r="D220" s="62">
        <v>0</v>
      </c>
      <c r="E220" s="62">
        <v>0</v>
      </c>
      <c r="F220" s="62">
        <v>0</v>
      </c>
      <c r="G220" s="62">
        <v>0</v>
      </c>
    </row>
    <row r="221" ht="20.05" customHeight="1">
      <c r="A221" s="12"/>
      <c r="B221" s="13"/>
      <c r="C221" t="s" s="61">
        <v>1536</v>
      </c>
      <c r="D221" s="62">
        <v>0</v>
      </c>
      <c r="E221" s="62">
        <v>0</v>
      </c>
      <c r="F221" s="62">
        <v>0</v>
      </c>
      <c r="G221" s="62">
        <v>0</v>
      </c>
    </row>
    <row r="222" ht="20.05" customHeight="1">
      <c r="A222" s="12"/>
      <c r="B222" s="13"/>
      <c r="C222" t="s" s="61">
        <v>1537</v>
      </c>
      <c r="D222" s="62">
        <v>0</v>
      </c>
      <c r="E222" s="62">
        <v>0</v>
      </c>
      <c r="F222" s="62">
        <v>0</v>
      </c>
      <c r="G222" s="62">
        <v>0</v>
      </c>
    </row>
    <row r="223" ht="20.05" customHeight="1">
      <c r="A223" s="12"/>
      <c r="B223" t="s" s="60">
        <v>1538</v>
      </c>
      <c r="C223" t="s" s="61">
        <v>1539</v>
      </c>
      <c r="D223" s="62">
        <v>0</v>
      </c>
      <c r="E223" s="62">
        <v>1</v>
      </c>
      <c r="F223" s="62">
        <v>0</v>
      </c>
      <c r="G223" s="62">
        <v>0</v>
      </c>
    </row>
    <row r="224" ht="20.05" customHeight="1">
      <c r="A224" s="12"/>
      <c r="B224" s="13"/>
      <c r="C224" t="s" s="61">
        <v>1540</v>
      </c>
      <c r="D224" s="62">
        <v>0</v>
      </c>
      <c r="E224" s="62">
        <v>1</v>
      </c>
      <c r="F224" s="62">
        <v>0</v>
      </c>
      <c r="G224" s="62">
        <v>0</v>
      </c>
    </row>
    <row r="225" ht="20.05" customHeight="1">
      <c r="A225" s="12"/>
      <c r="B225" t="s" s="60">
        <v>1541</v>
      </c>
      <c r="C225" t="s" s="61">
        <v>1542</v>
      </c>
      <c r="D225" s="62">
        <v>0</v>
      </c>
      <c r="E225" s="62">
        <v>0</v>
      </c>
      <c r="F225" s="62">
        <v>0</v>
      </c>
      <c r="G225" s="62">
        <v>0</v>
      </c>
    </row>
    <row r="226" ht="20.05" customHeight="1">
      <c r="A226" s="12"/>
      <c r="B226" s="13"/>
      <c r="C226" t="s" s="61">
        <v>1230</v>
      </c>
      <c r="D226" s="62">
        <v>0</v>
      </c>
      <c r="E226" s="62">
        <v>1</v>
      </c>
      <c r="F226" s="62">
        <v>0</v>
      </c>
      <c r="G226" s="62">
        <v>0</v>
      </c>
    </row>
    <row r="227" ht="20.05" customHeight="1">
      <c r="A227" s="12"/>
      <c r="B227" s="13"/>
      <c r="C227" t="s" s="61">
        <v>1543</v>
      </c>
      <c r="D227" s="62">
        <v>0</v>
      </c>
      <c r="E227" s="62">
        <v>4</v>
      </c>
      <c r="F227" s="62">
        <v>0</v>
      </c>
      <c r="G227" s="62">
        <v>0</v>
      </c>
    </row>
    <row r="228" ht="20.05" customHeight="1">
      <c r="A228" s="12"/>
      <c r="B228" t="s" s="60">
        <v>1544</v>
      </c>
      <c r="C228" t="s" s="61">
        <v>1545</v>
      </c>
      <c r="D228" s="62">
        <v>0</v>
      </c>
      <c r="E228" s="62">
        <v>0</v>
      </c>
      <c r="F228" s="62">
        <v>0</v>
      </c>
      <c r="G228" s="62">
        <v>0</v>
      </c>
    </row>
    <row r="229" ht="20.05" customHeight="1">
      <c r="A229" s="12"/>
      <c r="B229" s="13"/>
      <c r="C229" t="s" s="61">
        <v>1546</v>
      </c>
      <c r="D229" s="62">
        <v>0</v>
      </c>
      <c r="E229" s="62">
        <v>1</v>
      </c>
      <c r="F229" s="62">
        <v>0</v>
      </c>
      <c r="G229" s="62">
        <v>0</v>
      </c>
    </row>
    <row r="230" ht="20.05" customHeight="1">
      <c r="A230" s="12"/>
      <c r="B230" s="13"/>
      <c r="C230" t="s" s="61">
        <v>1547</v>
      </c>
      <c r="D230" s="62">
        <v>0</v>
      </c>
      <c r="E230" s="62">
        <v>0</v>
      </c>
      <c r="F230" s="62">
        <v>0</v>
      </c>
      <c r="G230" s="62">
        <v>0</v>
      </c>
    </row>
    <row r="231" ht="20.05" customHeight="1">
      <c r="A231" s="12"/>
      <c r="B231" s="13"/>
      <c r="C231" t="s" s="61">
        <v>1548</v>
      </c>
      <c r="D231" s="62">
        <v>0</v>
      </c>
      <c r="E231" s="62">
        <v>3</v>
      </c>
      <c r="F231" s="62">
        <v>0</v>
      </c>
      <c r="G231" s="62">
        <v>0</v>
      </c>
    </row>
    <row r="232" ht="20.05" customHeight="1">
      <c r="A232" s="12"/>
      <c r="B232" s="13"/>
      <c r="C232" t="s" s="61">
        <v>1549</v>
      </c>
      <c r="D232" s="62">
        <v>0</v>
      </c>
      <c r="E232" s="62">
        <v>0</v>
      </c>
      <c r="F232" s="62">
        <v>0</v>
      </c>
      <c r="G232" s="62">
        <v>0</v>
      </c>
    </row>
    <row r="233" ht="20.05" customHeight="1">
      <c r="A233" s="12"/>
      <c r="B233" t="s" s="60">
        <v>1550</v>
      </c>
      <c r="C233" t="s" s="61">
        <v>1551</v>
      </c>
      <c r="D233" s="62">
        <v>0</v>
      </c>
      <c r="E233" s="62">
        <v>2</v>
      </c>
      <c r="F233" s="62">
        <v>0</v>
      </c>
      <c r="G233" s="62">
        <v>0</v>
      </c>
    </row>
    <row r="234" ht="20.05" customHeight="1">
      <c r="A234" s="12"/>
      <c r="B234" s="13"/>
      <c r="C234" t="s" s="61">
        <v>1552</v>
      </c>
      <c r="D234" s="62">
        <v>0</v>
      </c>
      <c r="E234" s="62">
        <v>2</v>
      </c>
      <c r="F234" s="62">
        <v>0</v>
      </c>
      <c r="G234" s="62">
        <v>0</v>
      </c>
    </row>
    <row r="235" ht="20.05" customHeight="1">
      <c r="A235" s="12"/>
      <c r="B235" s="13"/>
      <c r="C235" t="s" s="61">
        <v>1553</v>
      </c>
      <c r="D235" s="62">
        <v>0</v>
      </c>
      <c r="E235" s="62">
        <v>2</v>
      </c>
      <c r="F235" s="62">
        <v>0</v>
      </c>
      <c r="G235" s="62">
        <v>0</v>
      </c>
    </row>
    <row r="236" ht="20.05" customHeight="1">
      <c r="A236" s="12"/>
      <c r="B236" t="s" s="60">
        <v>1554</v>
      </c>
      <c r="C236" t="s" s="61">
        <v>1555</v>
      </c>
      <c r="D236" s="62">
        <v>0</v>
      </c>
      <c r="E236" s="62">
        <v>2</v>
      </c>
      <c r="F236" s="62">
        <v>0</v>
      </c>
      <c r="G236" s="62">
        <v>0</v>
      </c>
    </row>
    <row r="237" ht="20.05" customHeight="1">
      <c r="A237" s="12"/>
      <c r="B237" s="13"/>
      <c r="C237" t="s" s="61">
        <v>1556</v>
      </c>
      <c r="D237" s="62">
        <v>0</v>
      </c>
      <c r="E237" s="62">
        <v>0</v>
      </c>
      <c r="F237" s="62">
        <v>0</v>
      </c>
      <c r="G237" s="62">
        <v>0</v>
      </c>
    </row>
    <row r="238" ht="20.05" customHeight="1">
      <c r="A238" s="12"/>
      <c r="B238" s="13"/>
      <c r="C238" t="s" s="61">
        <v>1557</v>
      </c>
      <c r="D238" s="62">
        <v>0</v>
      </c>
      <c r="E238" s="62">
        <v>0</v>
      </c>
      <c r="F238" s="62">
        <v>0</v>
      </c>
      <c r="G238" s="62">
        <v>0</v>
      </c>
    </row>
    <row r="239" ht="20.05" customHeight="1">
      <c r="A239" t="s" s="63">
        <v>1558</v>
      </c>
      <c r="B239" t="s" s="64">
        <v>1534</v>
      </c>
      <c r="C239" t="s" s="65">
        <v>1559</v>
      </c>
      <c r="D239" s="66">
        <v>0</v>
      </c>
      <c r="E239" s="66">
        <v>0</v>
      </c>
      <c r="F239" s="66">
        <v>0</v>
      </c>
      <c r="G239" s="66">
        <v>0</v>
      </c>
    </row>
    <row r="240" ht="20.05" customHeight="1">
      <c r="A240" s="12"/>
      <c r="B240" s="13"/>
      <c r="C240" t="s" s="65">
        <v>1560</v>
      </c>
      <c r="D240" s="66">
        <v>0</v>
      </c>
      <c r="E240" s="66">
        <v>0</v>
      </c>
      <c r="F240" s="66">
        <v>0</v>
      </c>
      <c r="G240" s="66">
        <v>0</v>
      </c>
    </row>
    <row r="241" ht="20.05" customHeight="1">
      <c r="A241" s="12"/>
      <c r="B241" t="s" s="64">
        <v>1561</v>
      </c>
      <c r="C241" t="s" s="65">
        <v>1562</v>
      </c>
      <c r="D241" s="66">
        <v>0</v>
      </c>
      <c r="E241" s="66">
        <v>0</v>
      </c>
      <c r="F241" s="66">
        <v>0</v>
      </c>
      <c r="G241" s="66">
        <v>0</v>
      </c>
    </row>
    <row r="242" ht="20.05" customHeight="1">
      <c r="A242" s="12"/>
      <c r="B242" s="13"/>
      <c r="C242" t="s" s="65">
        <v>1563</v>
      </c>
      <c r="D242" s="66">
        <v>0</v>
      </c>
      <c r="E242" s="66">
        <v>0</v>
      </c>
      <c r="F242" s="66">
        <v>0</v>
      </c>
      <c r="G242" s="66">
        <v>0</v>
      </c>
    </row>
    <row r="243" ht="20.05" customHeight="1">
      <c r="A243" s="12"/>
      <c r="B243" s="13"/>
      <c r="C243" t="s" s="65">
        <v>1564</v>
      </c>
      <c r="D243" s="66">
        <v>0</v>
      </c>
      <c r="E243" s="66">
        <v>0</v>
      </c>
      <c r="F243" s="66">
        <v>0</v>
      </c>
      <c r="G243" s="66">
        <v>0</v>
      </c>
    </row>
    <row r="244" ht="20.05" customHeight="1">
      <c r="A244" s="12"/>
      <c r="B244" s="13"/>
      <c r="C244" t="s" s="65">
        <v>1565</v>
      </c>
      <c r="D244" s="66">
        <v>0</v>
      </c>
      <c r="E244" s="66">
        <v>1</v>
      </c>
      <c r="F244" s="66">
        <v>0</v>
      </c>
      <c r="G244" s="66">
        <v>0</v>
      </c>
    </row>
    <row r="245" ht="20.05" customHeight="1">
      <c r="A245" s="12"/>
      <c r="B245" s="13"/>
      <c r="C245" t="s" s="65">
        <v>1566</v>
      </c>
      <c r="D245" s="66">
        <v>0</v>
      </c>
      <c r="E245" s="66">
        <v>0</v>
      </c>
      <c r="F245" s="66">
        <v>0</v>
      </c>
      <c r="G245" s="66">
        <v>0</v>
      </c>
    </row>
    <row r="246" ht="20.05" customHeight="1">
      <c r="A246" s="12"/>
      <c r="B246" s="13"/>
      <c r="C246" t="s" s="65">
        <v>1567</v>
      </c>
      <c r="D246" s="66">
        <v>0</v>
      </c>
      <c r="E246" s="66">
        <v>0</v>
      </c>
      <c r="F246" s="66">
        <v>0</v>
      </c>
      <c r="G246" s="66">
        <v>0</v>
      </c>
    </row>
    <row r="247" ht="20.05" customHeight="1">
      <c r="A247" s="12"/>
      <c r="B247" t="s" s="64">
        <v>1568</v>
      </c>
      <c r="C247" t="s" s="65">
        <v>1569</v>
      </c>
      <c r="D247" s="66">
        <v>0</v>
      </c>
      <c r="E247" s="66">
        <v>1</v>
      </c>
      <c r="F247" s="66">
        <v>0</v>
      </c>
      <c r="G247" s="66">
        <v>0</v>
      </c>
    </row>
    <row r="248" ht="20.05" customHeight="1">
      <c r="A248" s="12"/>
      <c r="B248" s="13"/>
      <c r="C248" t="s" s="65">
        <v>1570</v>
      </c>
      <c r="D248" s="66">
        <v>0</v>
      </c>
      <c r="E248" s="66">
        <v>2</v>
      </c>
      <c r="F248" s="66">
        <v>0</v>
      </c>
      <c r="G248" s="66">
        <v>0</v>
      </c>
    </row>
    <row r="249" ht="20.05" customHeight="1">
      <c r="A249" s="12"/>
      <c r="B249" s="13"/>
      <c r="C249" t="s" s="65">
        <v>1571</v>
      </c>
      <c r="D249" s="66">
        <v>0</v>
      </c>
      <c r="E249" s="66">
        <v>1</v>
      </c>
      <c r="F249" s="66">
        <v>0</v>
      </c>
      <c r="G249" s="66">
        <v>0</v>
      </c>
    </row>
    <row r="250" ht="22.95" customHeight="1">
      <c r="A250" s="12"/>
      <c r="B250" t="s" s="64">
        <v>1572</v>
      </c>
      <c r="C250" t="s" s="65">
        <v>1572</v>
      </c>
      <c r="D250" s="66">
        <v>0</v>
      </c>
      <c r="E250" s="217"/>
      <c r="F250" s="66">
        <v>0</v>
      </c>
      <c r="G250" s="66">
        <v>0</v>
      </c>
    </row>
    <row r="251" ht="20.05" customHeight="1">
      <c r="A251" s="12"/>
      <c r="B251" t="s" s="64">
        <v>1573</v>
      </c>
      <c r="C251" t="s" s="65">
        <v>866</v>
      </c>
      <c r="D251" s="66">
        <v>0</v>
      </c>
      <c r="E251" s="66">
        <v>0</v>
      </c>
      <c r="F251" s="66">
        <v>0</v>
      </c>
      <c r="G251" s="66">
        <v>0</v>
      </c>
    </row>
    <row r="252" ht="20.05" customHeight="1">
      <c r="A252" s="12"/>
      <c r="B252" s="13"/>
      <c r="C252" t="s" s="65">
        <v>1574</v>
      </c>
      <c r="D252" s="66">
        <v>0</v>
      </c>
      <c r="E252" s="66">
        <v>0</v>
      </c>
      <c r="F252" s="66">
        <v>0</v>
      </c>
      <c r="G252" s="66">
        <v>0</v>
      </c>
    </row>
    <row r="253" ht="20.05" customHeight="1">
      <c r="A253" s="12"/>
      <c r="B253" s="13"/>
      <c r="C253" t="s" s="65">
        <v>1575</v>
      </c>
      <c r="D253" s="66">
        <v>0</v>
      </c>
      <c r="E253" s="66">
        <v>0</v>
      </c>
      <c r="F253" s="66">
        <v>0</v>
      </c>
      <c r="G253" s="66">
        <v>0</v>
      </c>
    </row>
    <row r="254" ht="20.05" customHeight="1">
      <c r="A254" s="12"/>
      <c r="B254" t="s" s="64">
        <v>1576</v>
      </c>
      <c r="C254" t="s" s="65">
        <v>1577</v>
      </c>
      <c r="D254" s="66">
        <v>0</v>
      </c>
      <c r="E254" s="66">
        <v>0</v>
      </c>
      <c r="F254" s="66">
        <v>0</v>
      </c>
      <c r="G254" s="66">
        <v>0</v>
      </c>
    </row>
    <row r="255" ht="20.05" customHeight="1">
      <c r="A255" s="12"/>
      <c r="B255" s="13"/>
      <c r="C255" t="s" s="65">
        <v>1578</v>
      </c>
      <c r="D255" s="66">
        <v>0</v>
      </c>
      <c r="E255" s="66">
        <v>0</v>
      </c>
      <c r="F255" s="66">
        <v>0</v>
      </c>
      <c r="G255" s="66">
        <v>0</v>
      </c>
    </row>
    <row r="256" ht="20.05" customHeight="1">
      <c r="A256" s="12"/>
      <c r="B256" s="13"/>
      <c r="C256" t="s" s="65">
        <v>1579</v>
      </c>
      <c r="D256" s="66">
        <v>0</v>
      </c>
      <c r="E256" s="66">
        <v>2</v>
      </c>
      <c r="F256" s="66">
        <v>0</v>
      </c>
      <c r="G256" s="66">
        <v>0</v>
      </c>
    </row>
    <row r="257" ht="20.55" customHeight="1">
      <c r="A257" s="12"/>
      <c r="B257" s="13"/>
      <c r="C257" t="s" s="65">
        <v>1580</v>
      </c>
      <c r="D257" s="66">
        <v>0</v>
      </c>
      <c r="E257" s="66">
        <v>1</v>
      </c>
      <c r="F257" s="66">
        <v>0</v>
      </c>
      <c r="G257" s="66">
        <v>0</v>
      </c>
    </row>
    <row r="258" ht="22.85" customHeight="1">
      <c r="A258" t="s" s="218">
        <v>1581</v>
      </c>
      <c r="B258" t="s" s="219">
        <v>1582</v>
      </c>
      <c r="C258" t="s" s="220">
        <v>1583</v>
      </c>
      <c r="D258" s="221">
        <v>0</v>
      </c>
      <c r="E258" s="221">
        <v>3</v>
      </c>
      <c r="F258" s="221">
        <v>0</v>
      </c>
      <c r="G258" s="221">
        <v>0</v>
      </c>
    </row>
    <row r="259" ht="22.85" customHeight="1">
      <c r="A259" s="12"/>
      <c r="B259" s="13"/>
      <c r="C259" t="s" s="220">
        <v>603</v>
      </c>
      <c r="D259" s="221">
        <v>0</v>
      </c>
      <c r="E259" s="221">
        <v>1</v>
      </c>
      <c r="F259" s="221">
        <v>0</v>
      </c>
      <c r="G259" s="221">
        <v>0</v>
      </c>
    </row>
    <row r="260" ht="22.85" customHeight="1">
      <c r="A260" s="12"/>
      <c r="B260" t="s" s="219">
        <v>1584</v>
      </c>
      <c r="C260" t="s" s="220">
        <v>1585</v>
      </c>
      <c r="D260" s="221">
        <v>0</v>
      </c>
      <c r="E260" s="221">
        <v>8</v>
      </c>
      <c r="F260" s="221">
        <v>0</v>
      </c>
      <c r="G260" s="221">
        <v>0</v>
      </c>
    </row>
    <row r="261" ht="22.85" customHeight="1">
      <c r="A261" s="12"/>
      <c r="B261" s="13"/>
      <c r="C261" t="s" s="220">
        <v>1586</v>
      </c>
      <c r="D261" s="221">
        <v>0</v>
      </c>
      <c r="E261" s="221">
        <v>1</v>
      </c>
      <c r="F261" s="221">
        <v>0</v>
      </c>
      <c r="G261" s="221">
        <v>0</v>
      </c>
    </row>
    <row r="262" ht="22.85" customHeight="1">
      <c r="A262" s="12"/>
      <c r="B262" s="13"/>
      <c r="C262" t="s" s="220">
        <v>1587</v>
      </c>
      <c r="D262" s="221">
        <v>0</v>
      </c>
      <c r="E262" s="221">
        <v>0</v>
      </c>
      <c r="F262" s="221">
        <v>0</v>
      </c>
      <c r="G262" s="221">
        <v>0</v>
      </c>
    </row>
    <row r="263" ht="22.85" customHeight="1">
      <c r="A263" s="12"/>
      <c r="B263" s="13"/>
      <c r="C263" t="s" s="220">
        <v>1588</v>
      </c>
      <c r="D263" s="221">
        <v>0</v>
      </c>
      <c r="E263" s="221">
        <v>0</v>
      </c>
      <c r="F263" s="221">
        <v>0</v>
      </c>
      <c r="G263" s="221">
        <v>0</v>
      </c>
    </row>
    <row r="264" ht="30.8" customHeight="1">
      <c r="A264" t="s" s="70">
        <v>448</v>
      </c>
      <c r="B264" s="13"/>
      <c r="C264" s="14"/>
      <c r="D264" s="71"/>
      <c r="E264" s="71"/>
      <c r="F264" s="71"/>
      <c r="G264" s="71"/>
    </row>
    <row r="266" ht="31.55" customHeight="1">
      <c r="H266" t="s" s="73">
        <v>1589</v>
      </c>
      <c r="I266" s="73"/>
      <c r="J266" s="73"/>
      <c r="K266" s="73"/>
      <c r="L266" s="73"/>
      <c r="M266" s="73"/>
      <c r="N266" s="73"/>
    </row>
    <row r="267" ht="44.25" customHeight="1">
      <c r="H267" s="4"/>
      <c r="I267" t="s" s="74">
        <v>2</v>
      </c>
      <c r="J267" t="s" s="74">
        <v>3</v>
      </c>
      <c r="K267" t="s" s="74">
        <v>4</v>
      </c>
      <c r="L267" t="s" s="74">
        <v>794</v>
      </c>
      <c r="M267" t="s" s="74">
        <v>451</v>
      </c>
      <c r="N267" t="s" s="74">
        <v>8</v>
      </c>
    </row>
    <row r="268" ht="20.25" customHeight="1">
      <c r="H268" t="s" s="75">
        <v>9</v>
      </c>
      <c r="I268" s="76">
        <v>4</v>
      </c>
      <c r="J268" s="77">
        <v>22</v>
      </c>
      <c r="K268" s="77">
        <f>SUM(D4:D25)</f>
        <v>10</v>
      </c>
      <c r="L268" s="77">
        <f>SUM(E4:E25)</f>
        <v>115</v>
      </c>
      <c r="M268" s="77">
        <f>SUM(F4:F25)</f>
        <v>10</v>
      </c>
      <c r="N268" s="77">
        <f>SUM(G4:G25)</f>
        <v>16</v>
      </c>
    </row>
    <row r="269" ht="20.05" customHeight="1">
      <c r="H269" t="s" s="78">
        <v>50</v>
      </c>
      <c r="I269" s="79">
        <v>5</v>
      </c>
      <c r="J269" s="80">
        <v>11</v>
      </c>
      <c r="K269" s="80">
        <f>SUM(D26:D36)</f>
        <v>6</v>
      </c>
      <c r="L269" s="80">
        <f>SUM(E26:E36)</f>
        <v>53</v>
      </c>
      <c r="M269" s="80">
        <f>SUM(F26:F36)</f>
        <v>2</v>
      </c>
      <c r="N269" s="80">
        <f>SUM(G26:G36)</f>
        <v>4</v>
      </c>
    </row>
    <row r="270" ht="20.05" customHeight="1">
      <c r="H270" t="s" s="78">
        <v>77</v>
      </c>
      <c r="I270" s="79">
        <v>4</v>
      </c>
      <c r="J270" s="80">
        <v>15</v>
      </c>
      <c r="K270" s="80">
        <f>SUM(D37:D51)</f>
        <v>0</v>
      </c>
      <c r="L270" s="80">
        <f>SUM(E37:E51)</f>
        <v>34</v>
      </c>
      <c r="M270" s="80">
        <f>SUM(F37:F51)</f>
        <v>0</v>
      </c>
      <c r="N270" s="80">
        <f>SUM(G37:G51)</f>
        <v>0</v>
      </c>
    </row>
    <row r="271" ht="20.05" customHeight="1">
      <c r="H271" t="s" s="78">
        <v>92</v>
      </c>
      <c r="I271" s="79">
        <v>4</v>
      </c>
      <c r="J271" s="80">
        <v>11</v>
      </c>
      <c r="K271" s="80">
        <f>SUM(D52:D62)</f>
        <v>2</v>
      </c>
      <c r="L271" s="80">
        <f>SUM(E52:E62)</f>
        <v>41</v>
      </c>
      <c r="M271" s="80">
        <f>SUM(F52:F62)</f>
        <v>4</v>
      </c>
      <c r="N271" s="80">
        <f>SUM(G52:G62)</f>
        <v>3</v>
      </c>
    </row>
    <row r="272" ht="20.05" customHeight="1">
      <c r="H272" t="s" s="78">
        <v>1407</v>
      </c>
      <c r="I272" s="79">
        <v>3</v>
      </c>
      <c r="J272" s="80">
        <v>18</v>
      </c>
      <c r="K272" s="80">
        <f>SUM(D63:D80)</f>
        <v>0</v>
      </c>
      <c r="L272" s="80">
        <f>SUM(E63:E80)</f>
        <v>19</v>
      </c>
      <c r="M272" s="80">
        <f>SUM(F63:F80)</f>
        <v>0</v>
      </c>
      <c r="N272" s="80">
        <f>SUM(G63:G80)</f>
        <v>0</v>
      </c>
    </row>
    <row r="273" ht="20.05" customHeight="1">
      <c r="H273" t="s" s="78">
        <v>1418</v>
      </c>
      <c r="I273" s="79">
        <v>4</v>
      </c>
      <c r="J273" s="80">
        <v>11</v>
      </c>
      <c r="K273" s="80">
        <f>SUM(D81:D91)</f>
        <v>0</v>
      </c>
      <c r="L273" s="80">
        <f>SUM(E81:E91)</f>
        <v>21</v>
      </c>
      <c r="M273" s="80">
        <f>SUM(F81:F91)</f>
        <v>0</v>
      </c>
      <c r="N273" s="80">
        <f>SUM(G81:G91)</f>
        <v>0</v>
      </c>
    </row>
    <row r="274" ht="20.05" customHeight="1">
      <c r="H274" t="s" s="78">
        <v>1430</v>
      </c>
      <c r="I274" s="79">
        <v>3</v>
      </c>
      <c r="J274" s="80">
        <v>6</v>
      </c>
      <c r="K274" s="80">
        <f>SUM(D92:D97)</f>
        <v>0</v>
      </c>
      <c r="L274" s="80">
        <f>SUM(E92:E97)</f>
        <v>3</v>
      </c>
      <c r="M274" s="80">
        <f>SUM(F92:F97)</f>
        <v>0</v>
      </c>
      <c r="N274" s="80">
        <f>SUM(G92:G97)</f>
        <v>0</v>
      </c>
    </row>
    <row r="275" ht="20.05" customHeight="1">
      <c r="H275" t="s" s="78">
        <v>1438</v>
      </c>
      <c r="I275" s="79">
        <v>8</v>
      </c>
      <c r="J275" s="80">
        <v>19</v>
      </c>
      <c r="K275" s="80">
        <f>SUM(D98:D119)</f>
        <v>2</v>
      </c>
      <c r="L275" s="80">
        <f>SUM(E98:E119)</f>
        <v>144</v>
      </c>
      <c r="M275" s="80">
        <f>SUM(F98:F119)</f>
        <v>3</v>
      </c>
      <c r="N275" s="80">
        <f>SUM(G98:G119)</f>
        <v>3</v>
      </c>
    </row>
    <row r="276" ht="20.05" customHeight="1">
      <c r="H276" t="s" s="78">
        <v>315</v>
      </c>
      <c r="I276" s="79">
        <v>8</v>
      </c>
      <c r="J276" s="80">
        <v>29</v>
      </c>
      <c r="K276" s="80">
        <f>SUM(D120:D148)</f>
        <v>1</v>
      </c>
      <c r="L276" s="80">
        <f>SUM(E120:E148)</f>
        <v>271</v>
      </c>
      <c r="M276" s="80">
        <f>SUM(F120:F148)</f>
        <v>3</v>
      </c>
      <c r="N276" s="80">
        <f>SUM(G120:G148)</f>
        <v>2</v>
      </c>
    </row>
    <row r="277" ht="20.05" customHeight="1">
      <c r="H277" t="s" s="78">
        <v>1454</v>
      </c>
      <c r="I277" s="79">
        <v>5</v>
      </c>
      <c r="J277" s="80">
        <v>24</v>
      </c>
      <c r="K277" s="80">
        <f>SUM(D149:D172)</f>
        <v>0</v>
      </c>
      <c r="L277" s="80">
        <f>SUM(E149:E172)</f>
        <v>27</v>
      </c>
      <c r="M277" s="80">
        <f>SUM(F149:F172)</f>
        <v>0</v>
      </c>
      <c r="N277" s="80">
        <f>SUM(G149:G172)</f>
        <v>0</v>
      </c>
    </row>
    <row r="278" ht="20.05" customHeight="1">
      <c r="H278" t="s" s="78">
        <v>1478</v>
      </c>
      <c r="I278" s="79">
        <v>4</v>
      </c>
      <c r="J278" s="80">
        <v>14</v>
      </c>
      <c r="K278" s="80">
        <f>SUM(D173:D186)</f>
        <v>0</v>
      </c>
      <c r="L278" s="80">
        <f>SUM(E173:E186)</f>
        <v>10</v>
      </c>
      <c r="M278" s="80">
        <f>SUM(F173:F186)</f>
        <v>0</v>
      </c>
      <c r="N278" s="80">
        <f>SUM(G173:G186)</f>
        <v>0</v>
      </c>
    </row>
    <row r="279" ht="20.05" customHeight="1">
      <c r="H279" t="s" s="78">
        <v>1496</v>
      </c>
      <c r="I279" s="79">
        <v>7</v>
      </c>
      <c r="J279" s="80">
        <v>31</v>
      </c>
      <c r="K279" s="80">
        <f>SUM(D187:D217)</f>
        <v>0</v>
      </c>
      <c r="L279" s="80">
        <f>SUM(E187:E217)</f>
        <v>58</v>
      </c>
      <c r="M279" s="80">
        <f>SUM(F187:F217)</f>
        <v>0</v>
      </c>
      <c r="N279" s="80">
        <f>SUM(G187:G217)</f>
        <v>0</v>
      </c>
    </row>
    <row r="280" ht="20.05" customHeight="1">
      <c r="H280" t="s" s="78">
        <v>1530</v>
      </c>
      <c r="I280" s="79">
        <v>7</v>
      </c>
      <c r="J280" s="80">
        <v>21</v>
      </c>
      <c r="K280" s="80">
        <f>SUM(D218:D238)</f>
        <v>0</v>
      </c>
      <c r="L280" s="80">
        <f>SUM(E218:E238)</f>
        <v>19</v>
      </c>
      <c r="M280" s="80">
        <f>SUM(F218:F238)</f>
        <v>0</v>
      </c>
      <c r="N280" s="80">
        <f>SUM(G218:G238)</f>
        <v>0</v>
      </c>
    </row>
    <row r="281" ht="20.05" customHeight="1">
      <c r="H281" t="s" s="78">
        <v>1558</v>
      </c>
      <c r="I281" s="79">
        <v>6</v>
      </c>
      <c r="J281" s="80">
        <v>19</v>
      </c>
      <c r="K281" s="80">
        <f>SUM(D239:D257)</f>
        <v>0</v>
      </c>
      <c r="L281" s="80">
        <f>SUM(E239:E257)</f>
        <v>8</v>
      </c>
      <c r="M281" s="80">
        <f>SUM(F239:F257)</f>
        <v>0</v>
      </c>
      <c r="N281" s="80">
        <f>SUM(G239:G257)</f>
        <v>0</v>
      </c>
    </row>
    <row r="282" ht="20.05" customHeight="1">
      <c r="H282" t="s" s="78">
        <v>1581</v>
      </c>
      <c r="I282" s="79">
        <v>2</v>
      </c>
      <c r="J282" s="80">
        <v>6</v>
      </c>
      <c r="K282" s="80">
        <f>SUM(D258:D263)</f>
        <v>0</v>
      </c>
      <c r="L282" s="80">
        <f>SUM(E258:E263)</f>
        <v>13</v>
      </c>
      <c r="M282" s="80">
        <f>SUM(F258:F263)</f>
        <v>0</v>
      </c>
      <c r="N282" s="80">
        <f>SUM(G258:G263)</f>
        <v>0</v>
      </c>
    </row>
    <row r="283" ht="20.05" customHeight="1">
      <c r="H283" t="s" s="81">
        <v>448</v>
      </c>
      <c r="I283" s="82">
        <f>SUM(I268:I281)</f>
        <v>72</v>
      </c>
      <c r="J283" s="62">
        <f>SUM(J268:J281)</f>
        <v>251</v>
      </c>
      <c r="K283" s="83">
        <f>SUM(K268:K281)</f>
        <v>21</v>
      </c>
      <c r="L283" s="62">
        <f>SUM(L268:L281)</f>
        <v>823</v>
      </c>
      <c r="M283" s="84">
        <f>SUM(M268:M281)</f>
        <v>22</v>
      </c>
      <c r="N283" s="84">
        <f>SUM(N268:N281)</f>
        <v>28</v>
      </c>
    </row>
    <row r="284" ht="20.05" customHeight="1">
      <c r="H284" t="s" s="78">
        <v>466</v>
      </c>
      <c r="I284" s="85"/>
      <c r="J284" s="71"/>
      <c r="K284" s="71"/>
      <c r="L284" s="71"/>
      <c r="M284" s="29">
        <f>SUM(K283+M283)</f>
        <v>43</v>
      </c>
      <c r="N284" s="86"/>
    </row>
  </sheetData>
  <mergeCells count="86">
    <mergeCell ref="A1:G1"/>
    <mergeCell ref="B14:B21"/>
    <mergeCell ref="B22:B25"/>
    <mergeCell ref="A4:A25"/>
    <mergeCell ref="B26:B29"/>
    <mergeCell ref="B30:B31"/>
    <mergeCell ref="B32:B33"/>
    <mergeCell ref="B34"/>
    <mergeCell ref="B37:B39"/>
    <mergeCell ref="B52:B54"/>
    <mergeCell ref="B56:B59"/>
    <mergeCell ref="B63"/>
    <mergeCell ref="B86:B87"/>
    <mergeCell ref="B88:B89"/>
    <mergeCell ref="B90:B91"/>
    <mergeCell ref="B92:B93"/>
    <mergeCell ref="B94"/>
    <mergeCell ref="B98:B101"/>
    <mergeCell ref="B118:B119"/>
    <mergeCell ref="B109:B111"/>
    <mergeCell ref="B108"/>
    <mergeCell ref="B191"/>
    <mergeCell ref="B218:B219"/>
    <mergeCell ref="B223:B224"/>
    <mergeCell ref="B120:B124"/>
    <mergeCell ref="B157:B159"/>
    <mergeCell ref="B160:B161"/>
    <mergeCell ref="B162:B167"/>
    <mergeCell ref="B239:B240"/>
    <mergeCell ref="B247:B249"/>
    <mergeCell ref="B173:B175"/>
    <mergeCell ref="B181:B184"/>
    <mergeCell ref="B185:B186"/>
    <mergeCell ref="B260:B263"/>
    <mergeCell ref="B258:B259"/>
    <mergeCell ref="A258:A263"/>
    <mergeCell ref="B225:B227"/>
    <mergeCell ref="B228:B232"/>
    <mergeCell ref="B233:B235"/>
    <mergeCell ref="B236:B238"/>
    <mergeCell ref="B220:B222"/>
    <mergeCell ref="B241:B246"/>
    <mergeCell ref="B250"/>
    <mergeCell ref="A239:A257"/>
    <mergeCell ref="B254:B257"/>
    <mergeCell ref="B251:B253"/>
    <mergeCell ref="B192:B200"/>
    <mergeCell ref="B187:B190"/>
    <mergeCell ref="B201:B205"/>
    <mergeCell ref="B206:B212"/>
    <mergeCell ref="B213:B216"/>
    <mergeCell ref="B176:B180"/>
    <mergeCell ref="B149:B156"/>
    <mergeCell ref="B168:B172"/>
    <mergeCell ref="A149:A172"/>
    <mergeCell ref="B81:B85"/>
    <mergeCell ref="B112:B114"/>
    <mergeCell ref="B102:B107"/>
    <mergeCell ref="B116:B117"/>
    <mergeCell ref="B141:B144"/>
    <mergeCell ref="B139:B140"/>
    <mergeCell ref="B145:B148"/>
    <mergeCell ref="A120:A148"/>
    <mergeCell ref="B137:B138"/>
    <mergeCell ref="B133:B136"/>
    <mergeCell ref="B126:B132"/>
    <mergeCell ref="B4:B11"/>
    <mergeCell ref="B12:B13"/>
    <mergeCell ref="B35:B36"/>
    <mergeCell ref="A26:A36"/>
    <mergeCell ref="B41:B48"/>
    <mergeCell ref="B49:B51"/>
    <mergeCell ref="A37:A51"/>
    <mergeCell ref="B60:B62"/>
    <mergeCell ref="A52:A62"/>
    <mergeCell ref="A63:A80"/>
    <mergeCell ref="B64:B69"/>
    <mergeCell ref="B70:B80"/>
    <mergeCell ref="A81:A91"/>
    <mergeCell ref="A92:A97"/>
    <mergeCell ref="A98:A119"/>
    <mergeCell ref="B95:B97"/>
    <mergeCell ref="A173:A186"/>
    <mergeCell ref="A187:A217"/>
    <mergeCell ref="A218:A238"/>
    <mergeCell ref="H266:N266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